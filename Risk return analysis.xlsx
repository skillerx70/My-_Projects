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SAPM\"/>
    </mc:Choice>
  </mc:AlternateContent>
  <xr:revisionPtr revIDLastSave="0" documentId="13_ncr:1_{16E95A5B-7AD6-4E29-A5DC-7DA207AB9F72}" xr6:coauthVersionLast="47" xr6:coauthVersionMax="47" xr10:uidLastSave="{00000000-0000-0000-0000-000000000000}"/>
  <bookViews>
    <workbookView xWindow="-108" yWindow="-108" windowWidth="23256" windowHeight="12456" activeTab="2" xr2:uid="{B63B6136-11D3-4857-A58D-2991E97FEBC7}"/>
  </bookViews>
  <sheets>
    <sheet name="1" sheetId="1" r:id="rId1"/>
    <sheet name="3" sheetId="2" r:id="rId2"/>
    <sheet name="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3" l="1"/>
  <c r="X5" i="3"/>
  <c r="X6" i="3"/>
  <c r="X7" i="3"/>
  <c r="X8" i="3"/>
  <c r="X3" i="3"/>
  <c r="Q4" i="3"/>
  <c r="Q5" i="3"/>
  <c r="Q6" i="3"/>
  <c r="Q7" i="3"/>
  <c r="Q3" i="3"/>
  <c r="Q8" i="3" s="1"/>
  <c r="J4" i="3"/>
  <c r="J5" i="3"/>
  <c r="J8" i="3" s="1"/>
  <c r="J6" i="3"/>
  <c r="J7" i="3"/>
  <c r="J3" i="3"/>
  <c r="C4" i="3"/>
  <c r="C5" i="3"/>
  <c r="C6" i="3"/>
  <c r="C7" i="3"/>
  <c r="C3" i="3"/>
  <c r="C8" i="3" s="1"/>
  <c r="D19" i="1"/>
  <c r="C36" i="2"/>
  <c r="F34" i="2"/>
  <c r="H34" i="2" s="1"/>
  <c r="F33" i="2"/>
  <c r="H33" i="2" s="1"/>
  <c r="F31" i="2"/>
  <c r="H31" i="2" s="1"/>
  <c r="D36" i="2"/>
  <c r="F35" i="2" s="1"/>
  <c r="H35" i="2" s="1"/>
  <c r="E35" i="2"/>
  <c r="E33" i="2"/>
  <c r="G33" i="2" s="1"/>
  <c r="E32" i="2"/>
  <c r="E30" i="2"/>
  <c r="C12" i="2"/>
  <c r="E13" i="2"/>
  <c r="D13" i="2"/>
  <c r="D12" i="2"/>
  <c r="E12" i="2"/>
  <c r="F12" i="2"/>
  <c r="C13" i="2"/>
  <c r="L6" i="2"/>
  <c r="K10" i="2"/>
  <c r="L10" i="2" s="1"/>
  <c r="K8" i="2"/>
  <c r="L8" i="2" s="1"/>
  <c r="K7" i="2"/>
  <c r="L7" i="2" s="1"/>
  <c r="K6" i="2"/>
  <c r="K5" i="2"/>
  <c r="L5" i="2" s="1"/>
  <c r="J11" i="2"/>
  <c r="K9" i="2" s="1"/>
  <c r="L9" i="2" s="1"/>
  <c r="E11" i="2"/>
  <c r="J23" i="2"/>
  <c r="K22" i="2" s="1"/>
  <c r="L22" i="2" s="1"/>
  <c r="E22" i="2"/>
  <c r="D22" i="2"/>
  <c r="D21" i="2"/>
  <c r="E21" i="2" s="1"/>
  <c r="D19" i="2"/>
  <c r="E19" i="2" s="1"/>
  <c r="D17" i="2"/>
  <c r="E17" i="2" s="1"/>
  <c r="C23" i="2"/>
  <c r="E34" i="2" s="1"/>
  <c r="G34" i="2" s="1"/>
  <c r="D11" i="2"/>
  <c r="F11" i="2"/>
  <c r="F30" i="2" s="1"/>
  <c r="H30" i="2" s="1"/>
  <c r="C11" i="2"/>
  <c r="H31" i="1"/>
  <c r="H29" i="1"/>
  <c r="F32" i="1"/>
  <c r="H32" i="1" s="1"/>
  <c r="F31" i="1"/>
  <c r="F30" i="1"/>
  <c r="H30" i="1" s="1"/>
  <c r="F29" i="1"/>
  <c r="E31" i="1"/>
  <c r="G31" i="1" s="1"/>
  <c r="E29" i="1"/>
  <c r="G29" i="1" s="1"/>
  <c r="D20" i="1"/>
  <c r="D21" i="1"/>
  <c r="D23" i="1" s="1"/>
  <c r="D22" i="1"/>
  <c r="C33" i="1"/>
  <c r="E32" i="1" s="1"/>
  <c r="G32" i="1" s="1"/>
  <c r="D12" i="1"/>
  <c r="F8" i="1"/>
  <c r="F9" i="1"/>
  <c r="E6" i="1"/>
  <c r="F6" i="1" s="1"/>
  <c r="E7" i="1"/>
  <c r="F7" i="1" s="1"/>
  <c r="E8" i="1"/>
  <c r="E9" i="1"/>
  <c r="G30" i="2" l="1"/>
  <c r="E23" i="2"/>
  <c r="E26" i="2" s="1"/>
  <c r="E27" i="2" s="1"/>
  <c r="L11" i="2"/>
  <c r="N7" i="2" s="1"/>
  <c r="N8" i="2" s="1"/>
  <c r="G35" i="2"/>
  <c r="H33" i="1"/>
  <c r="K21" i="2"/>
  <c r="L21" i="2" s="1"/>
  <c r="K20" i="2"/>
  <c r="L20" i="2" s="1"/>
  <c r="D18" i="2"/>
  <c r="E18" i="2" s="1"/>
  <c r="E31" i="2"/>
  <c r="G31" i="2" s="1"/>
  <c r="F32" i="2"/>
  <c r="H32" i="2" s="1"/>
  <c r="H36" i="2" s="1"/>
  <c r="K17" i="2"/>
  <c r="L17" i="2" s="1"/>
  <c r="K18" i="2"/>
  <c r="L18" i="2" s="1"/>
  <c r="E30" i="1"/>
  <c r="G30" i="1" s="1"/>
  <c r="G33" i="1" s="1"/>
  <c r="E35" i="1" s="1"/>
  <c r="D20" i="2"/>
  <c r="E20" i="2" s="1"/>
  <c r="K19" i="2"/>
  <c r="L19" i="2" s="1"/>
  <c r="L23" i="2" l="1"/>
  <c r="L26" i="2" s="1"/>
  <c r="L27" i="2" s="1"/>
  <c r="G32" i="2"/>
  <c r="G36" i="2" s="1"/>
  <c r="H39" i="2" s="1"/>
</calcChain>
</file>

<file path=xl/sharedStrings.xml><?xml version="1.0" encoding="utf-8"?>
<sst xmlns="http://schemas.openxmlformats.org/spreadsheetml/2006/main" count="102" uniqueCount="48">
  <si>
    <t>Year</t>
  </si>
  <si>
    <t>FNL Year-End Price (INR)</t>
  </si>
  <si>
    <t>Dividend per Share (INR)</t>
  </si>
  <si>
    <t>Caselet 1</t>
  </si>
  <si>
    <t>Table for computation of annual return</t>
  </si>
  <si>
    <t>Capital Appreciation (INR)</t>
  </si>
  <si>
    <t>Base Year (INR)</t>
  </si>
  <si>
    <t>NA</t>
  </si>
  <si>
    <t>Total Return (INR)</t>
  </si>
  <si>
    <t>Average Annual Return</t>
  </si>
  <si>
    <t>Beta Computation</t>
  </si>
  <si>
    <t>Table for computation of NIFTY 50 Return</t>
  </si>
  <si>
    <t>Nifty 50 Year-End Points</t>
  </si>
  <si>
    <t>Average Return Of NIFTY 50</t>
  </si>
  <si>
    <t>Table for computation of FNL LTD. Beta</t>
  </si>
  <si>
    <t>Annual Return  (in%)[Ri]</t>
  </si>
  <si>
    <t>Avg R</t>
  </si>
  <si>
    <t>Ri-Avg FNL Return(Dx)</t>
  </si>
  <si>
    <t>Rm Avg Nifty Return(Dy)</t>
  </si>
  <si>
    <t>Dx*Dy</t>
  </si>
  <si>
    <t>Square of Dy</t>
  </si>
  <si>
    <t>Beta</t>
  </si>
  <si>
    <t>Answer to analysis question</t>
  </si>
  <si>
    <t>The decision is based on the risk appetite of the investor.</t>
  </si>
  <si>
    <t>In order to mitigate the risk,the investor can also invest in low beta stocks.</t>
  </si>
  <si>
    <t>The role of dividend is significant as it gives confidence to the investors about the company's ability to generate cash.</t>
  </si>
  <si>
    <t>FNL Average return is higher than the market return which means that FNL has outperformed the market.</t>
  </si>
  <si>
    <t>FNL Beta is 2.4, it means if market goes up by 10%,FNL will go up by 24% and vice-versa.</t>
  </si>
  <si>
    <t>CASELET 3 SOLUTION</t>
  </si>
  <si>
    <t>Month</t>
  </si>
  <si>
    <t>Tata Motors</t>
  </si>
  <si>
    <t>TCS</t>
  </si>
  <si>
    <t>Hindustan Unilever</t>
  </si>
  <si>
    <t>NIFTY 50</t>
  </si>
  <si>
    <t>Average Return</t>
  </si>
  <si>
    <t>Tata Motors(X)</t>
  </si>
  <si>
    <t>X- Avg Return</t>
  </si>
  <si>
    <t>Square of X-Avg return</t>
  </si>
  <si>
    <t>SD</t>
  </si>
  <si>
    <t>N-1</t>
  </si>
  <si>
    <t>Standard Deviation</t>
  </si>
  <si>
    <t>NIFTY 50(Y)</t>
  </si>
  <si>
    <t>X-Avg return of TM(Dx)</t>
  </si>
  <si>
    <t>Y-Avg Return of NIFTY(Dy)</t>
  </si>
  <si>
    <t>Reliance Industries</t>
  </si>
  <si>
    <t>Annual Return in %</t>
  </si>
  <si>
    <t>Infosys</t>
  </si>
  <si>
    <t>ITC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</si>
</sst>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1" xfId="0" applyFont="1" applyBorder="1"/>
    <xf numFmtId="0" fontId="0" fillId="2" borderId="1" xfId="0" applyFill="1" applyBorder="1" applyAlignment="1">
      <alignment horizontal="center"/>
    </xf>
    <xf numFmtId="0" fontId="0" fillId="2" borderId="0" xfId="0" applyFill="1"/>
    <xf numFmtId="0" fontId="3" fillId="0" borderId="1" xfId="0" applyFont="1" applyBorder="1" applyAlignment="1">
      <alignment vertical="center"/>
    </xf>
    <xf numFmtId="17" fontId="4" fillId="0" borderId="1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1" fillId="3" borderId="1" xfId="0" applyFont="1" applyFill="1" applyBorder="1"/>
    <xf numFmtId="0" fontId="7" fillId="3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5076-B133-475C-AEB1-4E35E46CBACA}">
  <dimension ref="A1:H43"/>
  <sheetViews>
    <sheetView zoomScale="121" workbookViewId="0">
      <selection activeCell="H12" sqref="H12"/>
    </sheetView>
  </sheetViews>
  <sheetFormatPr defaultRowHeight="14.4" x14ac:dyDescent="0.3"/>
  <cols>
    <col min="2" max="2" width="16.77734375" customWidth="1"/>
    <col min="3" max="3" width="17.21875" customWidth="1"/>
    <col min="4" max="4" width="24.77734375" customWidth="1"/>
    <col min="5" max="5" width="23.109375" customWidth="1"/>
    <col min="6" max="6" width="23.33203125" customWidth="1"/>
    <col min="7" max="7" width="14.33203125" customWidth="1"/>
    <col min="8" max="8" width="15.6640625" customWidth="1"/>
  </cols>
  <sheetData>
    <row r="1" spans="1:8" x14ac:dyDescent="0.3">
      <c r="A1" s="1" t="s">
        <v>3</v>
      </c>
    </row>
    <row r="3" spans="1:8" x14ac:dyDescent="0.3">
      <c r="A3" s="1">
        <v>1</v>
      </c>
      <c r="B3" s="25" t="s">
        <v>4</v>
      </c>
      <c r="C3" s="25"/>
      <c r="D3" s="25"/>
      <c r="E3" s="25"/>
      <c r="F3" s="25"/>
      <c r="G3" s="25"/>
      <c r="H3" s="25"/>
    </row>
    <row r="4" spans="1:8" ht="58.8" customHeight="1" x14ac:dyDescent="0.3">
      <c r="B4" s="2" t="s">
        <v>0</v>
      </c>
      <c r="C4" s="2" t="s">
        <v>1</v>
      </c>
      <c r="D4" s="2" t="s">
        <v>2</v>
      </c>
      <c r="E4" s="2" t="s">
        <v>5</v>
      </c>
      <c r="F4" s="2" t="s">
        <v>8</v>
      </c>
      <c r="G4" s="2" t="s">
        <v>6</v>
      </c>
      <c r="H4" s="2" t="s">
        <v>15</v>
      </c>
    </row>
    <row r="5" spans="1:8" ht="15.6" x14ac:dyDescent="0.3">
      <c r="B5" s="5">
        <v>2019</v>
      </c>
      <c r="C5" s="5">
        <v>731.75</v>
      </c>
      <c r="D5" s="5">
        <v>10.5</v>
      </c>
      <c r="E5" s="4" t="s">
        <v>7</v>
      </c>
      <c r="F5" s="4" t="s">
        <v>7</v>
      </c>
      <c r="G5" s="4" t="s">
        <v>7</v>
      </c>
      <c r="H5" s="4" t="s">
        <v>7</v>
      </c>
    </row>
    <row r="6" spans="1:8" ht="15.6" x14ac:dyDescent="0.3">
      <c r="B6" s="5">
        <v>2020</v>
      </c>
      <c r="C6" s="5">
        <v>1129.05</v>
      </c>
      <c r="D6" s="5">
        <v>12</v>
      </c>
      <c r="E6" s="4">
        <f>(C6-C5)</f>
        <v>397.29999999999995</v>
      </c>
      <c r="F6" s="4">
        <f>E6+D6</f>
        <v>409.29999999999995</v>
      </c>
      <c r="G6" s="5">
        <v>731.75</v>
      </c>
      <c r="H6" s="4">
        <v>55.9344038264434</v>
      </c>
    </row>
    <row r="7" spans="1:8" ht="15.6" x14ac:dyDescent="0.3">
      <c r="B7" s="5">
        <v>2021</v>
      </c>
      <c r="C7" s="5">
        <v>1707.55</v>
      </c>
      <c r="D7" s="5">
        <v>15</v>
      </c>
      <c r="E7" s="4">
        <f>(C7-C6)</f>
        <v>578.5</v>
      </c>
      <c r="F7" s="4">
        <f t="shared" ref="F7:F9" si="0">E7+D7</f>
        <v>593.5</v>
      </c>
      <c r="G7" s="5">
        <v>1129.05</v>
      </c>
      <c r="H7" s="4">
        <v>52.566316815021501</v>
      </c>
    </row>
    <row r="8" spans="1:8" ht="15.6" x14ac:dyDescent="0.3">
      <c r="B8" s="5">
        <v>2022</v>
      </c>
      <c r="C8" s="5">
        <v>1526.3</v>
      </c>
      <c r="D8" s="5">
        <v>16.5</v>
      </c>
      <c r="E8" s="4">
        <f t="shared" ref="E8:E9" si="1">(C8-C7)</f>
        <v>-181.25</v>
      </c>
      <c r="F8" s="4">
        <f t="shared" si="0"/>
        <v>-164.75</v>
      </c>
      <c r="G8" s="5">
        <v>1707.55</v>
      </c>
      <c r="H8" s="4">
        <v>-9.6483265497350015</v>
      </c>
    </row>
    <row r="9" spans="1:8" ht="15.6" x14ac:dyDescent="0.3">
      <c r="B9" s="5">
        <v>2023</v>
      </c>
      <c r="C9" s="5">
        <v>1408.65</v>
      </c>
      <c r="D9" s="5">
        <v>18</v>
      </c>
      <c r="E9" s="4">
        <f t="shared" si="1"/>
        <v>-117.64999999999986</v>
      </c>
      <c r="F9" s="4">
        <f t="shared" si="0"/>
        <v>-99.649999999999864</v>
      </c>
      <c r="G9" s="5">
        <v>1526.3</v>
      </c>
      <c r="H9" s="4">
        <v>-6.5288606433859568</v>
      </c>
    </row>
    <row r="12" spans="1:8" x14ac:dyDescent="0.3">
      <c r="A12" s="1">
        <v>3</v>
      </c>
      <c r="B12" s="26" t="s">
        <v>9</v>
      </c>
      <c r="C12" s="26"/>
      <c r="D12" s="7">
        <f>(H6+H7+H8+H9)/4</f>
        <v>23.080883362085988</v>
      </c>
    </row>
    <row r="13" spans="1:8" x14ac:dyDescent="0.3">
      <c r="A13" s="1"/>
    </row>
    <row r="14" spans="1:8" x14ac:dyDescent="0.3">
      <c r="A14" s="1">
        <v>2</v>
      </c>
      <c r="B14" t="s">
        <v>10</v>
      </c>
    </row>
    <row r="16" spans="1:8" x14ac:dyDescent="0.3">
      <c r="B16" t="s">
        <v>11</v>
      </c>
    </row>
    <row r="17" spans="2:8" ht="31.2" x14ac:dyDescent="0.3">
      <c r="B17" s="8" t="s">
        <v>0</v>
      </c>
      <c r="C17" s="8" t="s">
        <v>12</v>
      </c>
      <c r="D17" s="11" t="s">
        <v>15</v>
      </c>
    </row>
    <row r="18" spans="2:8" ht="15.6" x14ac:dyDescent="0.3">
      <c r="B18" s="5">
        <v>2019</v>
      </c>
      <c r="C18" s="9">
        <v>12168.45</v>
      </c>
      <c r="D18" s="10" t="s">
        <v>7</v>
      </c>
    </row>
    <row r="19" spans="2:8" ht="15.6" x14ac:dyDescent="0.3">
      <c r="B19" s="5">
        <v>2020</v>
      </c>
      <c r="C19" s="9">
        <v>13981.75</v>
      </c>
      <c r="D19" s="10">
        <f>(C19-C18)/C18*100</f>
        <v>14.901651401780827</v>
      </c>
    </row>
    <row r="20" spans="2:8" ht="15.6" x14ac:dyDescent="0.3">
      <c r="B20" s="5">
        <v>2021</v>
      </c>
      <c r="C20" s="9">
        <v>17354.05</v>
      </c>
      <c r="D20" s="10">
        <f t="shared" ref="D20:D22" si="2">(C20-C19)/C19*100</f>
        <v>24.119298371090881</v>
      </c>
    </row>
    <row r="21" spans="2:8" ht="15.6" x14ac:dyDescent="0.3">
      <c r="B21" s="5">
        <v>2022</v>
      </c>
      <c r="C21" s="9">
        <v>18105.3</v>
      </c>
      <c r="D21" s="10">
        <f t="shared" si="2"/>
        <v>4.328960674885689</v>
      </c>
    </row>
    <row r="22" spans="2:8" ht="15.6" x14ac:dyDescent="0.3">
      <c r="B22" s="5">
        <v>2023</v>
      </c>
      <c r="C22" s="9">
        <v>17003.75</v>
      </c>
      <c r="D22" s="10">
        <f t="shared" si="2"/>
        <v>-6.0841300613632434</v>
      </c>
    </row>
    <row r="23" spans="2:8" x14ac:dyDescent="0.3">
      <c r="B23" s="12" t="s">
        <v>13</v>
      </c>
      <c r="C23" s="12"/>
      <c r="D23" s="10">
        <f>(D19+D20+D21+D22)/4</f>
        <v>9.3164450965985388</v>
      </c>
    </row>
    <row r="26" spans="2:8" x14ac:dyDescent="0.3">
      <c r="B26" s="7" t="s">
        <v>14</v>
      </c>
      <c r="C26" s="7"/>
    </row>
    <row r="27" spans="2:8" ht="31.2" x14ac:dyDescent="0.3">
      <c r="B27" s="8" t="s">
        <v>0</v>
      </c>
      <c r="C27" s="2" t="s">
        <v>15</v>
      </c>
      <c r="D27" s="2" t="s">
        <v>15</v>
      </c>
      <c r="E27" s="13" t="s">
        <v>17</v>
      </c>
      <c r="F27" s="13" t="s">
        <v>18</v>
      </c>
      <c r="G27" s="6" t="s">
        <v>19</v>
      </c>
      <c r="H27" s="6" t="s">
        <v>20</v>
      </c>
    </row>
    <row r="28" spans="2:8" ht="15.6" x14ac:dyDescent="0.3">
      <c r="B28" s="5">
        <v>2019</v>
      </c>
      <c r="C28" s="4" t="s">
        <v>7</v>
      </c>
      <c r="D28" s="4" t="s">
        <v>7</v>
      </c>
      <c r="E28" s="3" t="s">
        <v>7</v>
      </c>
      <c r="F28" s="3" t="s">
        <v>7</v>
      </c>
      <c r="G28" s="4" t="s">
        <v>7</v>
      </c>
      <c r="H28" s="4" t="s">
        <v>7</v>
      </c>
    </row>
    <row r="29" spans="2:8" ht="15.6" x14ac:dyDescent="0.3">
      <c r="B29" s="5">
        <v>2020</v>
      </c>
      <c r="C29" s="4">
        <v>55.934403826443443</v>
      </c>
      <c r="D29" s="4">
        <v>14.901651401780827</v>
      </c>
      <c r="E29" s="4">
        <f>C29-C33</f>
        <v>32.853520464357445</v>
      </c>
      <c r="F29" s="4">
        <f>D29-D33</f>
        <v>5.5852063051822878</v>
      </c>
      <c r="G29" s="4">
        <f>E29*F29</f>
        <v>183.49368964496452</v>
      </c>
      <c r="H29" s="4">
        <f>F29*F29</f>
        <v>31.194529471447982</v>
      </c>
    </row>
    <row r="30" spans="2:8" ht="15.6" x14ac:dyDescent="0.3">
      <c r="B30" s="5">
        <v>2021</v>
      </c>
      <c r="C30" s="4">
        <v>52.566316815021487</v>
      </c>
      <c r="D30" s="4">
        <v>24.119298371090881</v>
      </c>
      <c r="E30" s="4">
        <f>C30-C33</f>
        <v>29.485433452935492</v>
      </c>
      <c r="F30" s="4">
        <f>D30-D33</f>
        <v>14.802853274492342</v>
      </c>
      <c r="G30" s="4">
        <f>E30*F30</f>
        <v>436.46854513861223</v>
      </c>
      <c r="H30" s="4">
        <f t="shared" ref="H30:H32" si="3">F30*F30</f>
        <v>219.12446506614867</v>
      </c>
    </row>
    <row r="31" spans="2:8" ht="15.6" x14ac:dyDescent="0.3">
      <c r="B31" s="5">
        <v>2022</v>
      </c>
      <c r="C31" s="4">
        <v>-9.6483265497350015</v>
      </c>
      <c r="D31" s="4">
        <v>4.328960674885689</v>
      </c>
      <c r="E31" s="4">
        <f>C31-C33</f>
        <v>-32.729209911820995</v>
      </c>
      <c r="F31" s="4">
        <f>D31-D33</f>
        <v>-4.9874844217128498</v>
      </c>
      <c r="G31" s="4">
        <f>E31*F31</f>
        <v>163.23642457017701</v>
      </c>
      <c r="H31" s="4">
        <f t="shared" si="3"/>
        <v>24.875000856828361</v>
      </c>
    </row>
    <row r="32" spans="2:8" ht="15.6" x14ac:dyDescent="0.3">
      <c r="B32" s="5">
        <v>2023</v>
      </c>
      <c r="C32" s="4">
        <v>-6.5288606433859568</v>
      </c>
      <c r="D32" s="4">
        <v>-6.0841300613632434</v>
      </c>
      <c r="E32" s="4">
        <f>C32-C33</f>
        <v>-29.609744005471953</v>
      </c>
      <c r="F32" s="4">
        <f>D32-D33</f>
        <v>-15.400575157961782</v>
      </c>
      <c r="G32" s="4">
        <f>E32*F32</f>
        <v>456.00708796427915</v>
      </c>
      <c r="H32" s="4">
        <f t="shared" si="3"/>
        <v>237.17771519602957</v>
      </c>
    </row>
    <row r="33" spans="2:8" x14ac:dyDescent="0.3">
      <c r="B33" t="s">
        <v>16</v>
      </c>
      <c r="C33" s="11">
        <f>(C29+C30+C31+C32)/4</f>
        <v>23.080883362085995</v>
      </c>
      <c r="D33" s="10">
        <v>9.3164450965985388</v>
      </c>
      <c r="E33" s="4"/>
      <c r="F33" s="4"/>
      <c r="G33" s="14">
        <f>SUM(G29:G32)</f>
        <v>1239.205747318033</v>
      </c>
      <c r="H33" s="14">
        <f>SUM(H29:H32)</f>
        <v>512.37171059045454</v>
      </c>
    </row>
    <row r="35" spans="2:8" x14ac:dyDescent="0.3">
      <c r="D35" t="s">
        <v>21</v>
      </c>
      <c r="E35" s="15">
        <f>G33/H33</f>
        <v>2.4185678516286129</v>
      </c>
    </row>
    <row r="37" spans="2:8" x14ac:dyDescent="0.3">
      <c r="B37" t="s">
        <v>22</v>
      </c>
    </row>
    <row r="39" spans="2:8" x14ac:dyDescent="0.3">
      <c r="B39" s="1">
        <v>1</v>
      </c>
      <c r="C39" t="s">
        <v>27</v>
      </c>
    </row>
    <row r="40" spans="2:8" x14ac:dyDescent="0.3">
      <c r="B40" s="1">
        <v>2</v>
      </c>
      <c r="C40" t="s">
        <v>26</v>
      </c>
    </row>
    <row r="41" spans="2:8" x14ac:dyDescent="0.3">
      <c r="B41" s="1">
        <v>3</v>
      </c>
      <c r="C41" t="s">
        <v>23</v>
      </c>
    </row>
    <row r="42" spans="2:8" x14ac:dyDescent="0.3">
      <c r="B42" s="1">
        <v>4</v>
      </c>
      <c r="C42" t="s">
        <v>24</v>
      </c>
    </row>
    <row r="43" spans="2:8" x14ac:dyDescent="0.3">
      <c r="B43" s="1">
        <v>5</v>
      </c>
      <c r="C43" t="s">
        <v>25</v>
      </c>
    </row>
  </sheetData>
  <mergeCells count="2">
    <mergeCell ref="B3:H3"/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928A5-C356-4FE9-9FFB-CA3BFD8AE18F}">
  <dimension ref="A1:N39"/>
  <sheetViews>
    <sheetView workbookViewId="0">
      <selection activeCell="E4" sqref="E4"/>
    </sheetView>
  </sheetViews>
  <sheetFormatPr defaultRowHeight="14.4" x14ac:dyDescent="0.3"/>
  <cols>
    <col min="2" max="2" width="18.6640625" customWidth="1"/>
    <col min="3" max="3" width="14.77734375" customWidth="1"/>
    <col min="4" max="4" width="12.33203125" customWidth="1"/>
    <col min="5" max="5" width="19" customWidth="1"/>
    <col min="6" max="6" width="17.88671875" customWidth="1"/>
    <col min="8" max="8" width="14.109375" customWidth="1"/>
    <col min="9" max="10" width="16.33203125" customWidth="1"/>
    <col min="11" max="11" width="14.109375" customWidth="1"/>
    <col min="12" max="12" width="21.109375" customWidth="1"/>
  </cols>
  <sheetData>
    <row r="1" spans="1:14" x14ac:dyDescent="0.3">
      <c r="A1" t="s">
        <v>28</v>
      </c>
    </row>
    <row r="4" spans="1:14" ht="30" customHeight="1" x14ac:dyDescent="0.3">
      <c r="B4" s="8" t="s">
        <v>29</v>
      </c>
      <c r="C4" s="8" t="s">
        <v>30</v>
      </c>
      <c r="D4" s="8" t="s">
        <v>31</v>
      </c>
      <c r="E4" s="22" t="s">
        <v>32</v>
      </c>
      <c r="F4" s="8" t="s">
        <v>33</v>
      </c>
      <c r="I4" s="8" t="s">
        <v>29</v>
      </c>
      <c r="J4" s="8" t="s">
        <v>32</v>
      </c>
      <c r="K4" s="6" t="s">
        <v>36</v>
      </c>
      <c r="L4" s="6" t="s">
        <v>37</v>
      </c>
    </row>
    <row r="5" spans="1:14" ht="15.6" x14ac:dyDescent="0.3">
      <c r="B5" s="17">
        <v>45839</v>
      </c>
      <c r="C5" s="5">
        <v>5.2</v>
      </c>
      <c r="D5" s="5">
        <v>3.1</v>
      </c>
      <c r="E5" s="5">
        <v>2.4</v>
      </c>
      <c r="F5" s="5">
        <v>2.8</v>
      </c>
      <c r="I5" s="17">
        <v>45839</v>
      </c>
      <c r="J5" s="5">
        <v>2.4</v>
      </c>
      <c r="K5" s="3">
        <f>J5-J11</f>
        <v>0.6166666666666667</v>
      </c>
      <c r="L5" s="3">
        <f>K5*K5</f>
        <v>0.38027777777777783</v>
      </c>
    </row>
    <row r="6" spans="1:14" ht="15.6" x14ac:dyDescent="0.3">
      <c r="B6" s="17">
        <v>45870</v>
      </c>
      <c r="C6" s="5">
        <v>-4.5</v>
      </c>
      <c r="D6" s="5">
        <v>1.8</v>
      </c>
      <c r="E6" s="5">
        <v>3.2</v>
      </c>
      <c r="F6" s="5">
        <v>-1.2</v>
      </c>
      <c r="I6" s="17">
        <v>45870</v>
      </c>
      <c r="J6" s="5">
        <v>3.2</v>
      </c>
      <c r="K6" s="3">
        <f>J6-J11</f>
        <v>1.416666666666667</v>
      </c>
      <c r="L6" s="3">
        <f>K6*K6</f>
        <v>2.0069444444444451</v>
      </c>
      <c r="M6" t="s">
        <v>39</v>
      </c>
      <c r="N6">
        <v>5</v>
      </c>
    </row>
    <row r="7" spans="1:14" ht="15.6" x14ac:dyDescent="0.3">
      <c r="B7" s="17">
        <v>45901</v>
      </c>
      <c r="C7" s="5">
        <v>6.75</v>
      </c>
      <c r="D7" s="5">
        <v>-2.4</v>
      </c>
      <c r="E7" s="5">
        <v>1.6</v>
      </c>
      <c r="F7" s="5">
        <v>3.1</v>
      </c>
      <c r="I7" s="17">
        <v>45901</v>
      </c>
      <c r="J7" s="5">
        <v>1.6</v>
      </c>
      <c r="K7" s="3">
        <f>J7-J11</f>
        <v>-0.18333333333333313</v>
      </c>
      <c r="L7" s="3">
        <f t="shared" ref="L7:L10" si="0">K7*K7</f>
        <v>3.3611111111111036E-2</v>
      </c>
      <c r="M7" t="s">
        <v>38</v>
      </c>
      <c r="N7">
        <f>L11/5</f>
        <v>3.8696666666666659</v>
      </c>
    </row>
    <row r="8" spans="1:14" ht="15.6" x14ac:dyDescent="0.3">
      <c r="B8" s="17">
        <v>45931</v>
      </c>
      <c r="C8" s="5">
        <v>-3.2</v>
      </c>
      <c r="D8" s="5">
        <v>4.9000000000000004</v>
      </c>
      <c r="E8" s="5">
        <v>-1.5</v>
      </c>
      <c r="F8" s="5">
        <v>1.75</v>
      </c>
      <c r="I8" s="17">
        <v>45931</v>
      </c>
      <c r="J8" s="5">
        <v>-1.5</v>
      </c>
      <c r="K8" s="3">
        <f>J8-J11</f>
        <v>-3.2833333333333332</v>
      </c>
      <c r="L8" s="3">
        <f t="shared" si="0"/>
        <v>10.780277777777776</v>
      </c>
      <c r="N8">
        <f>SQRT(N7)</f>
        <v>1.9671468340382388</v>
      </c>
    </row>
    <row r="9" spans="1:14" ht="15.6" x14ac:dyDescent="0.3">
      <c r="B9" s="17">
        <v>45962</v>
      </c>
      <c r="C9" s="5">
        <v>8.4</v>
      </c>
      <c r="D9" s="5">
        <v>2.7</v>
      </c>
      <c r="E9" s="5">
        <v>4.0999999999999996</v>
      </c>
      <c r="F9" s="5">
        <v>3.95</v>
      </c>
      <c r="I9" s="17">
        <v>45962</v>
      </c>
      <c r="J9" s="5">
        <v>4.0999999999999996</v>
      </c>
      <c r="K9" s="3">
        <f>J9-J11</f>
        <v>2.3166666666666664</v>
      </c>
      <c r="L9" s="3">
        <f t="shared" si="0"/>
        <v>5.3669444444444432</v>
      </c>
    </row>
    <row r="10" spans="1:14" ht="15.6" x14ac:dyDescent="0.3">
      <c r="B10" s="17">
        <v>45992</v>
      </c>
      <c r="C10" s="5">
        <v>-2.8</v>
      </c>
      <c r="D10" s="5">
        <v>3.6</v>
      </c>
      <c r="E10" s="5">
        <v>0.9</v>
      </c>
      <c r="F10" s="5">
        <v>-0.85</v>
      </c>
      <c r="I10" s="17">
        <v>45992</v>
      </c>
      <c r="J10" s="5">
        <v>0.9</v>
      </c>
      <c r="K10" s="3">
        <f>J10-J11</f>
        <v>-0.88333333333333319</v>
      </c>
      <c r="L10" s="3">
        <f t="shared" si="0"/>
        <v>0.78027777777777751</v>
      </c>
    </row>
    <row r="11" spans="1:14" ht="21.6" customHeight="1" x14ac:dyDescent="0.3">
      <c r="B11" s="19" t="s">
        <v>34</v>
      </c>
      <c r="C11" s="20">
        <f>AVERAGE(C5:C10)</f>
        <v>1.6416666666666668</v>
      </c>
      <c r="D11" s="20">
        <f t="shared" ref="D11:F11" si="1">AVERAGE(D5:D10)</f>
        <v>2.2833333333333337</v>
      </c>
      <c r="E11" s="20">
        <f t="shared" si="1"/>
        <v>1.7833333333333332</v>
      </c>
      <c r="F11" s="20">
        <f t="shared" si="1"/>
        <v>1.5916666666666668</v>
      </c>
      <c r="I11" s="16" t="s">
        <v>34</v>
      </c>
      <c r="J11" s="12">
        <f t="shared" ref="J11" si="2">AVERAGE(J5:J10)</f>
        <v>1.7833333333333332</v>
      </c>
      <c r="K11" s="3"/>
      <c r="L11" s="3">
        <f>SUM(L5:L10)</f>
        <v>19.348333333333329</v>
      </c>
    </row>
    <row r="12" spans="1:14" ht="15.6" x14ac:dyDescent="0.3">
      <c r="B12" s="19" t="s">
        <v>40</v>
      </c>
      <c r="C12" s="20">
        <f>_xlfn.STDEV.S(C5:C10)</f>
        <v>5.7501666642512781</v>
      </c>
      <c r="D12" s="20">
        <f t="shared" ref="D12:F12" si="3">_xlfn.STDEV.S(D5:D10)</f>
        <v>2.5134969000710279</v>
      </c>
      <c r="E12" s="20">
        <f t="shared" si="3"/>
        <v>1.9671468340382394</v>
      </c>
      <c r="F12" s="20">
        <f t="shared" si="3"/>
        <v>2.1483520816352857</v>
      </c>
    </row>
    <row r="13" spans="1:14" x14ac:dyDescent="0.3">
      <c r="B13" s="20" t="s">
        <v>21</v>
      </c>
      <c r="C13" s="21">
        <f>SLOPE(C5:C10,F5:F10)</f>
        <v>2.390557010020764</v>
      </c>
      <c r="D13" s="20">
        <f>SLOPE(D5:D10,F5:F10)</f>
        <v>-0.28365080798050019</v>
      </c>
      <c r="E13" s="20">
        <f>SLOPE(E5:E10,F5:F10)</f>
        <v>0.15661280129999086</v>
      </c>
    </row>
    <row r="16" spans="1:14" ht="31.2" x14ac:dyDescent="0.3">
      <c r="B16" s="8" t="s">
        <v>29</v>
      </c>
      <c r="C16" s="8" t="s">
        <v>35</v>
      </c>
      <c r="D16" s="6" t="s">
        <v>36</v>
      </c>
      <c r="E16" s="6" t="s">
        <v>37</v>
      </c>
      <c r="I16" s="8" t="s">
        <v>29</v>
      </c>
      <c r="J16" s="8" t="s">
        <v>31</v>
      </c>
      <c r="K16" s="6" t="s">
        <v>36</v>
      </c>
      <c r="L16" s="6" t="s">
        <v>37</v>
      </c>
    </row>
    <row r="17" spans="2:12" ht="15.6" x14ac:dyDescent="0.3">
      <c r="B17" s="17">
        <v>45839</v>
      </c>
      <c r="C17" s="5">
        <v>5.2</v>
      </c>
      <c r="D17" s="4">
        <f>C17-C23</f>
        <v>3.5583333333333336</v>
      </c>
      <c r="E17" s="4">
        <f>D17*D17</f>
        <v>12.661736111111113</v>
      </c>
      <c r="I17" s="17">
        <v>45839</v>
      </c>
      <c r="J17" s="5">
        <v>3.1</v>
      </c>
      <c r="K17" s="3">
        <f>J17-J23</f>
        <v>0.81666666666666643</v>
      </c>
      <c r="L17" s="3">
        <f>K17*K17</f>
        <v>0.66694444444444401</v>
      </c>
    </row>
    <row r="18" spans="2:12" ht="15.6" x14ac:dyDescent="0.3">
      <c r="B18" s="17">
        <v>45870</v>
      </c>
      <c r="C18" s="5">
        <v>-4.5</v>
      </c>
      <c r="D18" s="4">
        <f>C18-C23</f>
        <v>-6.1416666666666666</v>
      </c>
      <c r="E18" s="4">
        <f>D18*D18</f>
        <v>37.720069444444441</v>
      </c>
      <c r="I18" s="17">
        <v>45870</v>
      </c>
      <c r="J18" s="5">
        <v>1.8</v>
      </c>
      <c r="K18" s="3">
        <f>J18-J23</f>
        <v>-0.48333333333333361</v>
      </c>
      <c r="L18" s="3">
        <f t="shared" ref="L18:L22" si="4">K18*K18</f>
        <v>0.23361111111111138</v>
      </c>
    </row>
    <row r="19" spans="2:12" ht="15.6" x14ac:dyDescent="0.3">
      <c r="B19" s="17">
        <v>45901</v>
      </c>
      <c r="C19" s="5">
        <v>6.75</v>
      </c>
      <c r="D19" s="4">
        <f>C19-C23</f>
        <v>5.1083333333333334</v>
      </c>
      <c r="E19" s="4">
        <f t="shared" ref="E19:E22" si="5">D19*D19</f>
        <v>26.095069444444444</v>
      </c>
      <c r="I19" s="17">
        <v>45901</v>
      </c>
      <c r="J19" s="5">
        <v>-2.4</v>
      </c>
      <c r="K19" s="3">
        <f>J19-J23</f>
        <v>-4.6833333333333336</v>
      </c>
      <c r="L19" s="3">
        <f t="shared" si="4"/>
        <v>21.933611111111112</v>
      </c>
    </row>
    <row r="20" spans="2:12" ht="15.6" x14ac:dyDescent="0.3">
      <c r="B20" s="17">
        <v>45931</v>
      </c>
      <c r="C20" s="5">
        <v>-3.2</v>
      </c>
      <c r="D20" s="4">
        <f>C20-C23</f>
        <v>-4.8416666666666668</v>
      </c>
      <c r="E20" s="4">
        <f t="shared" si="5"/>
        <v>23.441736111111112</v>
      </c>
      <c r="I20" s="17">
        <v>45931</v>
      </c>
      <c r="J20" s="5">
        <v>4.9000000000000004</v>
      </c>
      <c r="K20" s="3">
        <f>J20-J23</f>
        <v>2.6166666666666667</v>
      </c>
      <c r="L20" s="3">
        <f t="shared" si="4"/>
        <v>6.8469444444444445</v>
      </c>
    </row>
    <row r="21" spans="2:12" ht="15.6" x14ac:dyDescent="0.3">
      <c r="B21" s="17">
        <v>45962</v>
      </c>
      <c r="C21" s="5">
        <v>8.4</v>
      </c>
      <c r="D21" s="4">
        <f>C21-C23</f>
        <v>6.7583333333333337</v>
      </c>
      <c r="E21" s="4">
        <f t="shared" si="5"/>
        <v>45.675069444444453</v>
      </c>
      <c r="I21" s="17">
        <v>45962</v>
      </c>
      <c r="J21" s="5">
        <v>2.7</v>
      </c>
      <c r="K21" s="3">
        <f>J21-J23</f>
        <v>0.41666666666666652</v>
      </c>
      <c r="L21" s="3">
        <f t="shared" si="4"/>
        <v>0.17361111111111099</v>
      </c>
    </row>
    <row r="22" spans="2:12" ht="15.6" x14ac:dyDescent="0.3">
      <c r="B22" s="17">
        <v>45992</v>
      </c>
      <c r="C22" s="5">
        <v>-2.8</v>
      </c>
      <c r="D22" s="4">
        <f>C22-C23</f>
        <v>-4.4416666666666664</v>
      </c>
      <c r="E22" s="4">
        <f t="shared" si="5"/>
        <v>19.728402777777777</v>
      </c>
      <c r="I22" s="17">
        <v>45992</v>
      </c>
      <c r="J22" s="5">
        <v>3.6</v>
      </c>
      <c r="K22" s="3">
        <f>J22-J23</f>
        <v>1.3166666666666664</v>
      </c>
      <c r="L22" s="3">
        <f t="shared" si="4"/>
        <v>1.7336111111111105</v>
      </c>
    </row>
    <row r="23" spans="2:12" ht="15.6" x14ac:dyDescent="0.3">
      <c r="B23" s="16" t="s">
        <v>34</v>
      </c>
      <c r="C23" s="12">
        <f>AVERAGE(C17:C22)</f>
        <v>1.6416666666666668</v>
      </c>
      <c r="D23" s="4"/>
      <c r="E23" s="4">
        <f>SUM(E17:E22)</f>
        <v>165.32208333333332</v>
      </c>
      <c r="I23" s="16" t="s">
        <v>34</v>
      </c>
      <c r="J23" s="12">
        <f t="shared" ref="J23" si="6">AVERAGE(J17:J22)</f>
        <v>2.2833333333333337</v>
      </c>
      <c r="K23" s="3"/>
      <c r="L23" s="3">
        <f>SUM(L17:L22)</f>
        <v>31.588333333333335</v>
      </c>
    </row>
    <row r="25" spans="2:12" x14ac:dyDescent="0.3">
      <c r="D25" t="s">
        <v>39</v>
      </c>
      <c r="E25" s="18">
        <v>5</v>
      </c>
      <c r="K25" t="s">
        <v>39</v>
      </c>
      <c r="L25">
        <v>5</v>
      </c>
    </row>
    <row r="26" spans="2:12" x14ac:dyDescent="0.3">
      <c r="D26" t="s">
        <v>38</v>
      </c>
      <c r="E26" s="1">
        <f>E23/5</f>
        <v>33.064416666666666</v>
      </c>
      <c r="K26" t="s">
        <v>38</v>
      </c>
      <c r="L26">
        <f>L23/L25</f>
        <v>6.3176666666666668</v>
      </c>
    </row>
    <row r="27" spans="2:12" x14ac:dyDescent="0.3">
      <c r="E27" s="1">
        <f>SQRT(E26)</f>
        <v>5.7501666642512781</v>
      </c>
      <c r="L27">
        <f>SQRT(L26)</f>
        <v>2.5134969000710279</v>
      </c>
    </row>
    <row r="29" spans="2:12" ht="31.2" x14ac:dyDescent="0.3">
      <c r="B29" s="8" t="s">
        <v>29</v>
      </c>
      <c r="C29" s="8" t="s">
        <v>35</v>
      </c>
      <c r="D29" s="8" t="s">
        <v>41</v>
      </c>
      <c r="E29" s="8" t="s">
        <v>42</v>
      </c>
      <c r="F29" s="8" t="s">
        <v>43</v>
      </c>
      <c r="G29" s="8" t="s">
        <v>19</v>
      </c>
      <c r="H29" s="8" t="s">
        <v>20</v>
      </c>
    </row>
    <row r="30" spans="2:12" ht="15.6" x14ac:dyDescent="0.3">
      <c r="B30" s="17">
        <v>45839</v>
      </c>
      <c r="C30" s="5">
        <v>5.2</v>
      </c>
      <c r="D30" s="5">
        <v>2.8</v>
      </c>
      <c r="E30" s="3">
        <f>C30-C23</f>
        <v>3.5583333333333336</v>
      </c>
      <c r="F30" s="3">
        <f>D30-F11</f>
        <v>1.208333333333333</v>
      </c>
      <c r="G30" s="3">
        <f>E30*F30</f>
        <v>4.2996527777777773</v>
      </c>
      <c r="H30" s="3">
        <f>F30*F30</f>
        <v>1.4600694444444438</v>
      </c>
    </row>
    <row r="31" spans="2:12" ht="15.6" x14ac:dyDescent="0.3">
      <c r="B31" s="17">
        <v>45870</v>
      </c>
      <c r="C31" s="5">
        <v>-4.5</v>
      </c>
      <c r="D31" s="5">
        <v>-1.2</v>
      </c>
      <c r="E31" s="3">
        <f>C31-C23</f>
        <v>-6.1416666666666666</v>
      </c>
      <c r="F31" s="3">
        <f>D31-D36</f>
        <v>-2.791666666666667</v>
      </c>
      <c r="G31" s="3">
        <f t="shared" ref="G31:G35" si="7">E31*F31</f>
        <v>17.145486111111111</v>
      </c>
      <c r="H31" s="3">
        <f t="shared" ref="H31:H35" si="8">F31*F31</f>
        <v>7.7934027777777795</v>
      </c>
    </row>
    <row r="32" spans="2:12" ht="15.6" x14ac:dyDescent="0.3">
      <c r="B32" s="17">
        <v>45901</v>
      </c>
      <c r="C32" s="5">
        <v>6.75</v>
      </c>
      <c r="D32" s="5">
        <v>3.1</v>
      </c>
      <c r="E32" s="3">
        <f>C32-C23</f>
        <v>5.1083333333333334</v>
      </c>
      <c r="F32" s="3">
        <f>D32-D36</f>
        <v>1.5083333333333333</v>
      </c>
      <c r="G32" s="3">
        <f t="shared" si="7"/>
        <v>7.7050694444444447</v>
      </c>
      <c r="H32" s="3">
        <f t="shared" si="8"/>
        <v>2.2750694444444441</v>
      </c>
    </row>
    <row r="33" spans="2:8" ht="15.6" x14ac:dyDescent="0.3">
      <c r="B33" s="17">
        <v>45931</v>
      </c>
      <c r="C33" s="5">
        <v>-3.2</v>
      </c>
      <c r="D33" s="5">
        <v>1.75</v>
      </c>
      <c r="E33" s="3">
        <f>C33-C23</f>
        <v>-4.8416666666666668</v>
      </c>
      <c r="F33" s="3">
        <f>D33-D36</f>
        <v>0.15833333333333321</v>
      </c>
      <c r="G33" s="3">
        <f t="shared" si="7"/>
        <v>-0.76659722222222171</v>
      </c>
      <c r="H33" s="3">
        <f t="shared" si="8"/>
        <v>2.5069444444444408E-2</v>
      </c>
    </row>
    <row r="34" spans="2:8" ht="15.6" x14ac:dyDescent="0.3">
      <c r="B34" s="17">
        <v>45962</v>
      </c>
      <c r="C34" s="5">
        <v>8.4</v>
      </c>
      <c r="D34" s="5">
        <v>3.95</v>
      </c>
      <c r="E34" s="3">
        <f>C34-C23</f>
        <v>6.7583333333333337</v>
      </c>
      <c r="F34" s="3">
        <f>D34-D36</f>
        <v>2.3583333333333334</v>
      </c>
      <c r="G34" s="3">
        <f t="shared" si="7"/>
        <v>15.93840277777778</v>
      </c>
      <c r="H34" s="3">
        <f t="shared" si="8"/>
        <v>5.5617361111111112</v>
      </c>
    </row>
    <row r="35" spans="2:8" ht="15.6" x14ac:dyDescent="0.3">
      <c r="B35" s="17">
        <v>45992</v>
      </c>
      <c r="C35" s="5">
        <v>-2.8</v>
      </c>
      <c r="D35" s="5">
        <v>-0.85</v>
      </c>
      <c r="E35" s="3">
        <f>C35-C23</f>
        <v>-4.4416666666666664</v>
      </c>
      <c r="F35" s="3">
        <f>D35-D36</f>
        <v>-2.4416666666666669</v>
      </c>
      <c r="G35" s="3">
        <f t="shared" si="7"/>
        <v>10.845069444444444</v>
      </c>
      <c r="H35" s="3">
        <f t="shared" si="8"/>
        <v>5.9617361111111125</v>
      </c>
    </row>
    <row r="36" spans="2:8" ht="15.6" x14ac:dyDescent="0.3">
      <c r="B36" s="16" t="s">
        <v>34</v>
      </c>
      <c r="C36" s="12">
        <f>AVERAGE(C30:C35)</f>
        <v>1.6416666666666668</v>
      </c>
      <c r="D36" s="12">
        <f t="shared" ref="D36" si="9">AVERAGE(D30:D35)</f>
        <v>1.5916666666666668</v>
      </c>
      <c r="E36" s="3"/>
      <c r="F36" s="3"/>
      <c r="G36" s="3">
        <f>SUM(G30:G35)</f>
        <v>55.167083333333338</v>
      </c>
      <c r="H36" s="3">
        <f>SUM(H30:H35)</f>
        <v>23.077083333333334</v>
      </c>
    </row>
    <row r="39" spans="2:8" x14ac:dyDescent="0.3">
      <c r="G39" s="7" t="s">
        <v>21</v>
      </c>
      <c r="H39" s="7">
        <f>G36/H36</f>
        <v>2.390557010020764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0A69F-E29C-49F7-AAEC-DBA827A78B91}">
  <dimension ref="A1:X8"/>
  <sheetViews>
    <sheetView tabSelected="1" topLeftCell="B1" workbookViewId="0">
      <selection activeCell="J1" sqref="J1"/>
    </sheetView>
  </sheetViews>
  <sheetFormatPr defaultRowHeight="14.4" x14ac:dyDescent="0.3"/>
  <cols>
    <col min="1" max="1" width="19" customWidth="1"/>
    <col min="2" max="2" width="14" customWidth="1"/>
    <col min="3" max="3" width="17.6640625" customWidth="1"/>
    <col min="7" max="7" width="4" customWidth="1"/>
    <col min="8" max="8" width="19.6640625" bestFit="1" customWidth="1"/>
    <col min="10" max="10" width="18.6640625" customWidth="1"/>
    <col min="15" max="15" width="19.6640625" bestFit="1" customWidth="1"/>
    <col min="17" max="17" width="16.33203125" bestFit="1" customWidth="1"/>
    <col min="22" max="22" width="19.6640625" bestFit="1" customWidth="1"/>
    <col min="24" max="24" width="16.33203125" bestFit="1" customWidth="1"/>
  </cols>
  <sheetData>
    <row r="1" spans="1:24" ht="31.2" x14ac:dyDescent="0.3">
      <c r="A1" s="8" t="s">
        <v>29</v>
      </c>
      <c r="B1" s="8" t="s">
        <v>44</v>
      </c>
      <c r="C1" s="6" t="s">
        <v>45</v>
      </c>
      <c r="H1" s="8" t="s">
        <v>29</v>
      </c>
      <c r="I1" s="8" t="s">
        <v>46</v>
      </c>
      <c r="J1" s="6" t="s">
        <v>45</v>
      </c>
      <c r="O1" s="8" t="s">
        <v>29</v>
      </c>
      <c r="P1" s="8" t="s">
        <v>47</v>
      </c>
      <c r="Q1" s="6" t="s">
        <v>45</v>
      </c>
      <c r="V1" s="8" t="s">
        <v>29</v>
      </c>
      <c r="W1" s="8" t="s">
        <v>33</v>
      </c>
      <c r="X1" s="6" t="s">
        <v>45</v>
      </c>
    </row>
    <row r="2" spans="1:24" ht="15.6" x14ac:dyDescent="0.3">
      <c r="A2" s="17">
        <v>45839</v>
      </c>
      <c r="B2" s="23">
        <v>2480</v>
      </c>
      <c r="C2" s="4" t="s">
        <v>7</v>
      </c>
      <c r="H2" s="17">
        <v>45839</v>
      </c>
      <c r="I2" s="23">
        <v>1520</v>
      </c>
      <c r="J2" s="4" t="s">
        <v>7</v>
      </c>
      <c r="O2" s="17">
        <v>45839</v>
      </c>
      <c r="P2" s="24">
        <v>445</v>
      </c>
      <c r="Q2" s="4" t="s">
        <v>7</v>
      </c>
      <c r="V2" s="17">
        <v>45839</v>
      </c>
      <c r="W2" s="23">
        <v>19750</v>
      </c>
      <c r="X2" s="4" t="s">
        <v>7</v>
      </c>
    </row>
    <row r="3" spans="1:24" ht="15.6" x14ac:dyDescent="0.3">
      <c r="A3" s="17">
        <v>45870</v>
      </c>
      <c r="B3" s="23">
        <v>2550</v>
      </c>
      <c r="C3" s="4">
        <f>(B3-B2)/B2*100</f>
        <v>2.82258064516129</v>
      </c>
      <c r="H3" s="17">
        <v>45870</v>
      </c>
      <c r="I3" s="23">
        <v>1560</v>
      </c>
      <c r="J3" s="4">
        <f>(I3-I2)/I2*100</f>
        <v>2.6315789473684208</v>
      </c>
      <c r="O3" s="17">
        <v>45870</v>
      </c>
      <c r="P3" s="24">
        <v>452</v>
      </c>
      <c r="Q3" s="4">
        <f>(P3-P2)/P2*100</f>
        <v>1.5730337078651686</v>
      </c>
      <c r="V3" s="17">
        <v>45870</v>
      </c>
      <c r="W3" s="23">
        <v>20100</v>
      </c>
      <c r="X3" s="4">
        <f>(W3-W2)/W2*100</f>
        <v>1.7721518987341773</v>
      </c>
    </row>
    <row r="4" spans="1:24" ht="15.6" x14ac:dyDescent="0.3">
      <c r="A4" s="17">
        <v>45901</v>
      </c>
      <c r="B4" s="23">
        <v>2430</v>
      </c>
      <c r="C4" s="4">
        <f t="shared" ref="C4:C7" si="0">(B4-B3)/B3*100</f>
        <v>-4.7058823529411766</v>
      </c>
      <c r="H4" s="17">
        <v>45901</v>
      </c>
      <c r="I4" s="23">
        <v>1510</v>
      </c>
      <c r="J4" s="4">
        <f t="shared" ref="J4:J7" si="1">(I4-I3)/I3*100</f>
        <v>-3.2051282051282048</v>
      </c>
      <c r="O4" s="17">
        <v>45901</v>
      </c>
      <c r="P4" s="24">
        <v>460</v>
      </c>
      <c r="Q4" s="4">
        <f t="shared" ref="Q4:Q7" si="2">(P4-P3)/P3*100</f>
        <v>1.7699115044247788</v>
      </c>
      <c r="V4" s="17">
        <v>45901</v>
      </c>
      <c r="W4" s="23">
        <v>19880</v>
      </c>
      <c r="X4" s="4">
        <f t="shared" ref="X4:X8" si="3">(W4-W3)/W3*100</f>
        <v>-1.0945273631840797</v>
      </c>
    </row>
    <row r="5" spans="1:24" ht="15.6" x14ac:dyDescent="0.3">
      <c r="A5" s="17">
        <v>45931</v>
      </c>
      <c r="B5" s="23">
        <v>2610</v>
      </c>
      <c r="C5" s="4">
        <f t="shared" si="0"/>
        <v>7.4074074074074066</v>
      </c>
      <c r="H5" s="17">
        <v>45931</v>
      </c>
      <c r="I5" s="23">
        <v>1590</v>
      </c>
      <c r="J5" s="4">
        <f t="shared" si="1"/>
        <v>5.298013245033113</v>
      </c>
      <c r="O5" s="17">
        <v>45931</v>
      </c>
      <c r="P5" s="24">
        <v>455</v>
      </c>
      <c r="Q5" s="4">
        <f t="shared" si="2"/>
        <v>-1.0869565217391304</v>
      </c>
      <c r="V5" s="17">
        <v>45931</v>
      </c>
      <c r="W5" s="23">
        <v>20450</v>
      </c>
      <c r="X5" s="4">
        <f t="shared" si="3"/>
        <v>2.8672032193158956</v>
      </c>
    </row>
    <row r="6" spans="1:24" ht="15.6" x14ac:dyDescent="0.3">
      <c r="A6" s="17">
        <v>45962</v>
      </c>
      <c r="B6" s="23">
        <v>2720</v>
      </c>
      <c r="C6" s="4">
        <f t="shared" si="0"/>
        <v>4.2145593869731801</v>
      </c>
      <c r="H6" s="17">
        <v>45962</v>
      </c>
      <c r="I6" s="23">
        <v>1640</v>
      </c>
      <c r="J6" s="4">
        <f t="shared" si="1"/>
        <v>3.1446540880503147</v>
      </c>
      <c r="O6" s="17">
        <v>45962</v>
      </c>
      <c r="P6" s="24">
        <v>470</v>
      </c>
      <c r="Q6" s="4">
        <f t="shared" si="2"/>
        <v>3.296703296703297</v>
      </c>
      <c r="V6" s="17">
        <v>45962</v>
      </c>
      <c r="W6" s="23">
        <v>20900</v>
      </c>
      <c r="X6" s="4">
        <f t="shared" si="3"/>
        <v>2.2004889975550124</v>
      </c>
    </row>
    <row r="7" spans="1:24" ht="15.6" x14ac:dyDescent="0.3">
      <c r="A7" s="17">
        <v>45992</v>
      </c>
      <c r="B7" s="23">
        <v>2680</v>
      </c>
      <c r="C7" s="4">
        <f t="shared" si="0"/>
        <v>-1.4705882352941175</v>
      </c>
      <c r="H7" s="17">
        <v>45992</v>
      </c>
      <c r="I7" s="23">
        <v>1700</v>
      </c>
      <c r="J7" s="4">
        <f t="shared" si="1"/>
        <v>3.6585365853658534</v>
      </c>
      <c r="O7" s="17">
        <v>45992</v>
      </c>
      <c r="P7" s="24">
        <v>465</v>
      </c>
      <c r="Q7" s="4">
        <f t="shared" si="2"/>
        <v>-1.0638297872340425</v>
      </c>
      <c r="V7" s="17">
        <v>45992</v>
      </c>
      <c r="W7" s="23">
        <v>21150</v>
      </c>
      <c r="X7" s="4">
        <f t="shared" si="3"/>
        <v>1.1961722488038278</v>
      </c>
    </row>
    <row r="8" spans="1:24" x14ac:dyDescent="0.3">
      <c r="A8" s="4" t="s">
        <v>9</v>
      </c>
      <c r="B8" s="4"/>
      <c r="C8" s="4">
        <f>AVERAGE(C3:C7)</f>
        <v>1.6536153702613166</v>
      </c>
      <c r="H8" s="4" t="s">
        <v>9</v>
      </c>
      <c r="I8" s="3"/>
      <c r="J8" s="3">
        <f>AVERAGE(J3:J7)</f>
        <v>2.3055309321378994</v>
      </c>
      <c r="O8" s="4" t="s">
        <v>9</v>
      </c>
      <c r="P8" s="3"/>
      <c r="Q8" s="4">
        <f>AVERAGE(Q3:Q7)</f>
        <v>0.89777244000401435</v>
      </c>
      <c r="V8" s="4" t="s">
        <v>9</v>
      </c>
      <c r="W8" s="4"/>
      <c r="X8" s="4">
        <f t="shared" si="3"/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Vedika Kurmelwar</dc:creator>
  <cp:lastModifiedBy>Vedika Kurmelwar</cp:lastModifiedBy>
  <dcterms:created xsi:type="dcterms:W3CDTF">2026-03-05T04:17:24Z</dcterms:created>
  <dcterms:modified xsi:type="dcterms:W3CDTF">2026-04-26T10:30:53Z</dcterms:modified>
</cp:coreProperties>
</file>