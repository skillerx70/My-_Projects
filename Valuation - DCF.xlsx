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SBSADMIN\Desktop\Unit 3 - SAPM\"/>
    </mc:Choice>
  </mc:AlternateContent>
  <xr:revisionPtr revIDLastSave="0" documentId="13_ncr:1_{FA2186CE-0592-4B99-9AB4-198D703BA5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L" sheetId="1" r:id="rId1"/>
    <sheet name="AB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9" i="2"/>
  <c r="G8" i="2"/>
  <c r="H8" i="2"/>
  <c r="F8" i="2"/>
  <c r="E8" i="2"/>
  <c r="D8" i="2"/>
  <c r="E7" i="2"/>
  <c r="F7" i="2"/>
  <c r="G7" i="2"/>
  <c r="H7" i="2"/>
  <c r="D7" i="2"/>
  <c r="C16" i="1"/>
  <c r="C14" i="1"/>
  <c r="C13" i="1"/>
  <c r="C10" i="1"/>
  <c r="J8" i="1"/>
  <c r="I8" i="1"/>
  <c r="H8" i="1"/>
  <c r="G8" i="1"/>
  <c r="F8" i="1"/>
  <c r="E8" i="1"/>
  <c r="D8" i="1"/>
  <c r="C8" i="1"/>
  <c r="D7" i="1"/>
  <c r="E7" i="1"/>
  <c r="F7" i="1"/>
  <c r="G7" i="1"/>
  <c r="H7" i="1"/>
  <c r="I7" i="1"/>
  <c r="J7" i="1"/>
  <c r="C7" i="1"/>
</calcChain>
</file>

<file path=xl/sharedStrings.xml><?xml version="1.0" encoding="utf-8"?>
<sst xmlns="http://schemas.openxmlformats.org/spreadsheetml/2006/main" count="24" uniqueCount="22">
  <si>
    <t>Particulars</t>
  </si>
  <si>
    <t>NOPAT/CFO</t>
  </si>
  <si>
    <t>capex</t>
  </si>
  <si>
    <t>Increase in Working Capital</t>
  </si>
  <si>
    <t>Table for computation of Present Value of Free Cash Flows</t>
  </si>
  <si>
    <t>NOPAT/CFO (Rs.)</t>
  </si>
  <si>
    <t xml:space="preserve">Less: capex (Rs.) </t>
  </si>
  <si>
    <t>Less: Increase in Working Capital (Rs.)</t>
  </si>
  <si>
    <t>Present Value of FCF</t>
  </si>
  <si>
    <t>Free Cash Flow (FCF) (Rs)</t>
  </si>
  <si>
    <t>k</t>
  </si>
  <si>
    <t>Terminal Value (Rs)</t>
  </si>
  <si>
    <t>Total PV of FCF of all 8 years (Rs.)</t>
  </si>
  <si>
    <t>Enterprise Value (EV) (Rs.)</t>
  </si>
  <si>
    <t>Present Value of Terminal Value (Rs.)</t>
  </si>
  <si>
    <t>Less:</t>
  </si>
  <si>
    <t>FCF</t>
  </si>
  <si>
    <t>PV of FCF</t>
  </si>
  <si>
    <t xml:space="preserve"> Total PV of 5 Years FCF</t>
  </si>
  <si>
    <t>TV</t>
  </si>
  <si>
    <t>PV of TV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</si>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</sst>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b/>
      <sz val="22"/>
      <color rgb="FFFFFFFF"/>
      <name val="Calibri"/>
    </font>
    <font>
      <sz val="22"/>
      <color rgb="FF000000"/>
      <name val="Aptos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rgb="FFFFFFFF"/>
      <name val="Aptos"/>
      <family val="2"/>
    </font>
    <font>
      <sz val="22"/>
      <color theme="1"/>
      <name val="Calibri"/>
      <family val="2"/>
      <scheme val="minor"/>
    </font>
    <font>
      <b/>
      <sz val="25"/>
      <color rgb="FF000000"/>
      <name val="Cambria"/>
      <family val="1"/>
    </font>
    <font>
      <sz val="32"/>
      <color rgb="FF000000"/>
      <name val="Arial"/>
      <family val="2"/>
    </font>
    <font>
      <sz val="25"/>
      <color rgb="FF000000"/>
      <name val="Cambria"/>
      <family val="1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center"/>
    </xf>
    <xf numFmtId="0" fontId="4" fillId="0" borderId="0" xfId="0" applyFont="1"/>
    <xf numFmtId="0" fontId="9" fillId="0" borderId="0" xfId="0" applyFont="1"/>
    <xf numFmtId="0" fontId="8" fillId="2" borderId="4" xfId="0" applyFont="1" applyFill="1" applyBorder="1" applyAlignment="1">
      <alignment horizontal="left" vertical="center" wrapText="1" indent="1" readingOrder="1"/>
    </xf>
    <xf numFmtId="0" fontId="8" fillId="2" borderId="5" xfId="0" applyFont="1" applyFill="1" applyBorder="1" applyAlignment="1">
      <alignment horizontal="left" vertical="center" wrapText="1" indent="1" readingOrder="1"/>
    </xf>
    <xf numFmtId="0" fontId="1" fillId="2" borderId="3" xfId="0" applyFont="1" applyFill="1" applyBorder="1" applyAlignment="1">
      <alignment horizontal="right" vertical="center" wrapText="1" indent="1" readingOrder="1"/>
    </xf>
    <xf numFmtId="0" fontId="2" fillId="2" borderId="3" xfId="0" applyFont="1" applyFill="1" applyBorder="1" applyAlignment="1">
      <alignment horizontal="right" vertical="center" wrapText="1" indent="1" readingOrder="1"/>
    </xf>
    <xf numFmtId="0" fontId="3" fillId="3" borderId="1" xfId="0" applyFont="1" applyFill="1" applyBorder="1" applyAlignment="1">
      <alignment horizontal="right" vertical="center" wrapText="1" indent="1" readingOrder="1"/>
    </xf>
    <xf numFmtId="0" fontId="3" fillId="4" borderId="1" xfId="0" applyFont="1" applyFill="1" applyBorder="1" applyAlignment="1">
      <alignment horizontal="right" vertical="center" wrapText="1" indent="1" readingOrder="1"/>
    </xf>
    <xf numFmtId="0" fontId="9" fillId="0" borderId="1" xfId="0" applyFont="1" applyBorder="1"/>
    <xf numFmtId="0" fontId="8" fillId="2" borderId="6" xfId="0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left" vertical="center" wrapText="1" indent="1" readingOrder="1"/>
    </xf>
    <xf numFmtId="9" fontId="0" fillId="0" borderId="0" xfId="0" applyNumberFormat="1"/>
    <xf numFmtId="2" fontId="6" fillId="0" borderId="1" xfId="0" applyNumberFormat="1" applyFont="1" applyBorder="1"/>
    <xf numFmtId="0" fontId="8" fillId="2" borderId="0" xfId="0" applyFont="1" applyFill="1" applyBorder="1" applyAlignment="1">
      <alignment horizontal="left" vertical="center" wrapText="1" indent="1" readingOrder="1"/>
    </xf>
    <xf numFmtId="0" fontId="4" fillId="5" borderId="0" xfId="0" applyFont="1" applyFill="1"/>
    <xf numFmtId="0" fontId="5" fillId="6" borderId="0" xfId="0" applyFont="1" applyFill="1"/>
    <xf numFmtId="2" fontId="6" fillId="6" borderId="0" xfId="0" applyNumberFormat="1" applyFont="1" applyFill="1"/>
    <xf numFmtId="0" fontId="10" fillId="0" borderId="7" xfId="0" applyFont="1" applyBorder="1" applyAlignment="1">
      <alignment horizontal="left" vertical="center" wrapText="1" indent="1" readingOrder="1"/>
    </xf>
    <xf numFmtId="0" fontId="10" fillId="0" borderId="7" xfId="0" applyFont="1" applyBorder="1" applyAlignment="1">
      <alignment horizontal="right" vertical="center" wrapText="1" indent="1" readingOrder="1"/>
    </xf>
    <xf numFmtId="0" fontId="11" fillId="0" borderId="7" xfId="0" applyFont="1" applyBorder="1" applyAlignment="1">
      <alignment horizontal="right" vertical="center" wrapText="1" indent="1" readingOrder="1"/>
    </xf>
    <xf numFmtId="0" fontId="12" fillId="0" borderId="7" xfId="0" applyFont="1" applyBorder="1" applyAlignment="1">
      <alignment horizontal="left" vertical="center" wrapText="1" indent="1" readingOrder="1"/>
    </xf>
    <xf numFmtId="0" fontId="12" fillId="0" borderId="7" xfId="0" applyFont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left" vertical="center" wrapText="1" indent="1" readingOrder="1"/>
    </xf>
    <xf numFmtId="0" fontId="12" fillId="0" borderId="8" xfId="0" applyFont="1" applyBorder="1" applyAlignment="1">
      <alignment horizontal="left" vertical="center" wrapText="1" indent="1" readingOrder="1"/>
    </xf>
    <xf numFmtId="0" fontId="12" fillId="0" borderId="8" xfId="0" applyFont="1" applyBorder="1" applyAlignment="1">
      <alignment horizontal="center" vertical="center" wrapText="1" readingOrder="1"/>
    </xf>
    <xf numFmtId="0" fontId="12" fillId="0" borderId="1" xfId="0" applyFont="1" applyFill="1" applyBorder="1" applyAlignment="1">
      <alignment horizontal="left" vertical="center" wrapText="1" indent="1" readingOrder="1"/>
    </xf>
    <xf numFmtId="0" fontId="13" fillId="0" borderId="1" xfId="0" applyFont="1" applyBorder="1"/>
    <xf numFmtId="2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"/>
  <sheetViews>
    <sheetView topLeftCell="A7" zoomScale="120" zoomScaleNormal="120" workbookViewId="0">
      <selection activeCell="B18" sqref="B18"/>
    </sheetView>
  </sheetViews>
  <sheetFormatPr defaultRowHeight="14.4" x14ac:dyDescent="0.3"/>
  <cols>
    <col min="2" max="2" width="46.88671875" customWidth="1"/>
    <col min="3" max="3" width="15.33203125" customWidth="1"/>
    <col min="4" max="4" width="11.77734375" customWidth="1"/>
    <col min="5" max="5" width="15.88671875" customWidth="1"/>
    <col min="6" max="10" width="12.88671875" bestFit="1" customWidth="1"/>
  </cols>
  <sheetData>
    <row r="1" spans="2:13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2:13" ht="36.6" customHeight="1" x14ac:dyDescent="0.5">
      <c r="B2" s="2" t="s">
        <v>4</v>
      </c>
      <c r="C2" s="2"/>
      <c r="D2" s="2"/>
      <c r="E2" s="2"/>
      <c r="F2" s="2"/>
      <c r="G2" s="2"/>
      <c r="H2" s="2"/>
      <c r="I2" s="2"/>
      <c r="J2" s="2"/>
    </row>
    <row r="3" spans="2:13" ht="29.4" thickBot="1" x14ac:dyDescent="0.35">
      <c r="B3" s="1" t="s">
        <v>0</v>
      </c>
      <c r="C3" s="7">
        <v>2026</v>
      </c>
      <c r="D3" s="7">
        <v>2027</v>
      </c>
      <c r="E3" s="7">
        <v>2028</v>
      </c>
      <c r="F3" s="7">
        <v>2029</v>
      </c>
      <c r="G3" s="7">
        <v>2030</v>
      </c>
      <c r="H3" s="7">
        <v>2031</v>
      </c>
      <c r="I3" s="7">
        <v>2032</v>
      </c>
      <c r="J3" s="8">
        <v>2033</v>
      </c>
    </row>
    <row r="4" spans="2:13" ht="30" thickTop="1" thickBot="1" x14ac:dyDescent="0.35">
      <c r="B4" s="5" t="s">
        <v>5</v>
      </c>
      <c r="C4" s="9">
        <v>10.61</v>
      </c>
      <c r="D4" s="9">
        <v>11.21</v>
      </c>
      <c r="E4" s="9">
        <v>11.17</v>
      </c>
      <c r="F4" s="9">
        <v>12.73</v>
      </c>
      <c r="G4" s="9">
        <v>14.41</v>
      </c>
      <c r="H4" s="9">
        <v>16.22</v>
      </c>
      <c r="I4" s="9">
        <v>18.13</v>
      </c>
      <c r="J4" s="9">
        <v>20.12</v>
      </c>
    </row>
    <row r="5" spans="2:13" ht="29.4" thickBot="1" x14ac:dyDescent="0.35">
      <c r="B5" s="5" t="s">
        <v>6</v>
      </c>
      <c r="C5" s="10">
        <v>0</v>
      </c>
      <c r="D5" s="10">
        <v>0.63</v>
      </c>
      <c r="E5" s="10">
        <v>2.36</v>
      </c>
      <c r="F5" s="10">
        <v>1.79</v>
      </c>
      <c r="G5" s="10">
        <v>1.88</v>
      </c>
      <c r="H5" s="10">
        <v>1.97</v>
      </c>
      <c r="I5" s="10">
        <v>2.0699999999999998</v>
      </c>
      <c r="J5" s="10">
        <v>2.17</v>
      </c>
    </row>
    <row r="6" spans="2:13" ht="57.6" x14ac:dyDescent="0.3">
      <c r="B6" s="12" t="s">
        <v>7</v>
      </c>
      <c r="C6" s="10">
        <v>0</v>
      </c>
      <c r="D6" s="10">
        <v>6.44</v>
      </c>
      <c r="E6" s="10">
        <v>4.12</v>
      </c>
      <c r="F6" s="10">
        <v>6.1</v>
      </c>
      <c r="G6" s="10">
        <v>9.4499999999999993</v>
      </c>
      <c r="H6" s="10">
        <v>11.67</v>
      </c>
      <c r="I6" s="10">
        <v>12.97</v>
      </c>
      <c r="J6" s="10">
        <v>14.32</v>
      </c>
    </row>
    <row r="7" spans="2:13" ht="54" customHeight="1" x14ac:dyDescent="0.55000000000000004">
      <c r="B7" s="13" t="s">
        <v>9</v>
      </c>
      <c r="C7" s="11">
        <f>C4-C5-C6</f>
        <v>10.61</v>
      </c>
      <c r="D7" s="11">
        <f t="shared" ref="D7:J7" si="0">D4-D5-D6</f>
        <v>4.1399999999999997</v>
      </c>
      <c r="E7" s="11">
        <f t="shared" si="0"/>
        <v>4.6900000000000004</v>
      </c>
      <c r="F7" s="11">
        <f t="shared" si="0"/>
        <v>4.8400000000000016</v>
      </c>
      <c r="G7" s="11">
        <f t="shared" si="0"/>
        <v>3.0800000000000018</v>
      </c>
      <c r="H7" s="11">
        <f t="shared" si="0"/>
        <v>2.5799999999999983</v>
      </c>
      <c r="I7" s="11">
        <f t="shared" si="0"/>
        <v>3.0899999999999981</v>
      </c>
      <c r="J7" s="11">
        <f t="shared" si="0"/>
        <v>3.6300000000000026</v>
      </c>
      <c r="L7" t="s">
        <v>10</v>
      </c>
      <c r="M7" s="14">
        <v>0.15</v>
      </c>
    </row>
    <row r="8" spans="2:13" ht="28.8" x14ac:dyDescent="0.5">
      <c r="B8" s="6" t="s">
        <v>8</v>
      </c>
      <c r="C8" s="15">
        <f>C7/(1+M7)^C1</f>
        <v>9.2260869565217387</v>
      </c>
      <c r="D8" s="15">
        <f>D7/(1+M7)^D1</f>
        <v>3.1304347826086958</v>
      </c>
      <c r="E8" s="15">
        <f>E7/(1+M7)^E1</f>
        <v>3.0837511301060259</v>
      </c>
      <c r="F8" s="15">
        <f>F7/(1+M7)^F1</f>
        <v>2.7672857086702827</v>
      </c>
      <c r="G8" s="15">
        <f>G7/(1+M7)^G1</f>
        <v>1.5313043447187338</v>
      </c>
      <c r="H8" s="15">
        <f>H7/(1+M7)^H1</f>
        <v>1.1154051974518149</v>
      </c>
      <c r="I8" s="15">
        <f>I7/(1+M7)^I1</f>
        <v>1.1616454533623557</v>
      </c>
      <c r="J8" s="15">
        <f>J7/(1+M7)^J1</f>
        <v>1.186653439061589</v>
      </c>
    </row>
    <row r="10" spans="2:13" ht="57.6" x14ac:dyDescent="0.5">
      <c r="B10" s="16" t="s">
        <v>12</v>
      </c>
      <c r="C10" s="19">
        <f>SUM(C8:J8)</f>
        <v>23.202567012501238</v>
      </c>
    </row>
    <row r="13" spans="2:13" ht="21" x14ac:dyDescent="0.4">
      <c r="B13" s="3" t="s">
        <v>11</v>
      </c>
      <c r="C13" s="17">
        <f>J7*(1+10%)/(15%-10%)</f>
        <v>79.86000000000007</v>
      </c>
    </row>
    <row r="14" spans="2:13" ht="23.4" x14ac:dyDescent="0.45">
      <c r="B14" s="3" t="s">
        <v>14</v>
      </c>
      <c r="C14" s="18">
        <f>C13/(1+15%)^8</f>
        <v>26.106375659354963</v>
      </c>
    </row>
    <row r="16" spans="2:13" ht="25.8" x14ac:dyDescent="0.5">
      <c r="B16" s="3" t="s">
        <v>13</v>
      </c>
      <c r="C16" s="19">
        <f>C10+C14</f>
        <v>49.308942671856201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C690-8446-4C85-AD28-3B1F29C7019B}">
  <dimension ref="B2:K13"/>
  <sheetViews>
    <sheetView tabSelected="1" workbookViewId="0">
      <selection activeCell="G12" sqref="G12"/>
    </sheetView>
  </sheetViews>
  <sheetFormatPr defaultRowHeight="14.4" x14ac:dyDescent="0.3"/>
  <cols>
    <col min="2" max="2" width="14.77734375" customWidth="1"/>
    <col min="3" max="3" width="46.88671875" customWidth="1"/>
    <col min="4" max="4" width="16.5546875" customWidth="1"/>
    <col min="5" max="7" width="14.44140625" bestFit="1" customWidth="1"/>
    <col min="8" max="8" width="16.44140625" bestFit="1" customWidth="1"/>
  </cols>
  <sheetData>
    <row r="2" spans="2:11" ht="15" thickBot="1" x14ac:dyDescent="0.35">
      <c r="D2">
        <v>1</v>
      </c>
      <c r="E2">
        <v>2</v>
      </c>
      <c r="F2">
        <v>3</v>
      </c>
      <c r="G2">
        <v>4</v>
      </c>
      <c r="H2">
        <v>5</v>
      </c>
    </row>
    <row r="3" spans="2:11" ht="49.8" customHeight="1" thickBot="1" x14ac:dyDescent="0.35">
      <c r="C3" s="20" t="s">
        <v>0</v>
      </c>
      <c r="D3" s="21">
        <v>2026</v>
      </c>
      <c r="E3" s="21">
        <v>2027</v>
      </c>
      <c r="F3" s="21">
        <v>2028</v>
      </c>
      <c r="G3" s="21">
        <v>2029</v>
      </c>
      <c r="H3" s="22">
        <v>2030</v>
      </c>
    </row>
    <row r="4" spans="2:11" ht="41.4" customHeight="1" thickBot="1" x14ac:dyDescent="0.35">
      <c r="C4" s="23" t="s">
        <v>1</v>
      </c>
      <c r="D4" s="24">
        <v>10</v>
      </c>
      <c r="E4" s="24">
        <v>15</v>
      </c>
      <c r="F4" s="24">
        <v>20</v>
      </c>
      <c r="G4" s="24">
        <v>25</v>
      </c>
      <c r="H4" s="24">
        <v>30</v>
      </c>
    </row>
    <row r="5" spans="2:11" ht="41.4" customHeight="1" thickBot="1" x14ac:dyDescent="0.6">
      <c r="B5" s="4" t="s">
        <v>15</v>
      </c>
      <c r="C5" s="23" t="s">
        <v>2</v>
      </c>
      <c r="D5" s="24">
        <v>1</v>
      </c>
      <c r="E5" s="24">
        <v>1.3</v>
      </c>
      <c r="F5" s="24">
        <v>1.5</v>
      </c>
      <c r="G5" s="24">
        <v>1.8</v>
      </c>
      <c r="H5" s="24">
        <v>2</v>
      </c>
    </row>
    <row r="6" spans="2:11" ht="93.6" x14ac:dyDescent="0.55000000000000004">
      <c r="B6" s="4" t="s">
        <v>15</v>
      </c>
      <c r="C6" s="26" t="s">
        <v>3</v>
      </c>
      <c r="D6" s="27">
        <v>6</v>
      </c>
      <c r="E6" s="27">
        <v>4</v>
      </c>
      <c r="F6" s="27">
        <v>6</v>
      </c>
      <c r="G6" s="27">
        <v>9</v>
      </c>
      <c r="H6" s="27">
        <v>12</v>
      </c>
      <c r="K6" s="14">
        <v>0.15</v>
      </c>
    </row>
    <row r="7" spans="2:11" ht="33.6" x14ac:dyDescent="0.65">
      <c r="C7" s="28" t="s">
        <v>16</v>
      </c>
      <c r="D7" s="29">
        <f>D4-D5-D6</f>
        <v>3</v>
      </c>
      <c r="E7" s="29">
        <f t="shared" ref="E7:H7" si="0">E4-E5-E6</f>
        <v>9.6999999999999993</v>
      </c>
      <c r="F7" s="29">
        <f t="shared" si="0"/>
        <v>12.5</v>
      </c>
      <c r="G7" s="29">
        <f t="shared" si="0"/>
        <v>14.2</v>
      </c>
      <c r="H7" s="29">
        <f t="shared" si="0"/>
        <v>16</v>
      </c>
    </row>
    <row r="8" spans="2:11" ht="31.2" x14ac:dyDescent="0.5">
      <c r="C8" s="28" t="s">
        <v>17</v>
      </c>
      <c r="D8" s="15">
        <f>D7/(1+K6)^D2</f>
        <v>2.6086956521739131</v>
      </c>
      <c r="E8" s="15">
        <f>E7/(1+K6)^E2</f>
        <v>7.3345935727788287</v>
      </c>
      <c r="F8" s="15">
        <f>F7/(1+K6)^F2</f>
        <v>8.2189529053998545</v>
      </c>
      <c r="G8" s="15">
        <f>G7/(1+K6)^G2</f>
        <v>8.1188960874210743</v>
      </c>
      <c r="H8" s="15">
        <f>H7/(1+K6)^H2</f>
        <v>7.954827764772638</v>
      </c>
    </row>
    <row r="9" spans="2:11" ht="62.4" x14ac:dyDescent="0.45">
      <c r="C9" s="28" t="s">
        <v>18</v>
      </c>
      <c r="D9" s="30">
        <f>SUM(D8:H8)</f>
        <v>34.235965982546304</v>
      </c>
    </row>
    <row r="11" spans="2:11" ht="31.2" x14ac:dyDescent="0.55000000000000004">
      <c r="C11" s="25" t="s">
        <v>19</v>
      </c>
      <c r="D11" s="4">
        <f>H7*(1+10%)/(15%-10%)</f>
        <v>352.00000000000011</v>
      </c>
    </row>
    <row r="12" spans="2:11" ht="31.2" x14ac:dyDescent="0.45">
      <c r="C12" s="25" t="s">
        <v>20</v>
      </c>
      <c r="D12" s="30">
        <f>D11/(1+K6)^5</f>
        <v>175.00621082499811</v>
      </c>
    </row>
    <row r="13" spans="2:11" ht="31.2" x14ac:dyDescent="0.5">
      <c r="C13" s="25" t="s">
        <v>21</v>
      </c>
      <c r="D13" s="19">
        <f>D9+D12</f>
        <v>209.24217680754441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PRL</vt:lpstr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ISBSADMIN</dc:creator>
  <cp:lastModifiedBy>Sarita Agarwal ISBS PGDM</cp:lastModifiedBy>
  <dcterms:created xsi:type="dcterms:W3CDTF">2015-06-05T18:17:20Z</dcterms:created>
  <dcterms:modified xsi:type="dcterms:W3CDTF">2026-03-12T05:13:32Z</dcterms:modified>
</cp:coreProperties>
</file>