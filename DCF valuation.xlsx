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SBSADMIN\Desktop\SAPM 2527\Unit 3 - SAPM\"/>
    </mc:Choice>
  </mc:AlternateContent>
  <xr:revisionPtr revIDLastSave="0" documentId="13_ncr:1_{EE68039E-2EE3-4D75-A6D4-65FA8A2EA5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F49" i="1"/>
  <c r="B46" i="1"/>
  <c r="B42" i="1"/>
  <c r="B39" i="1"/>
  <c r="B36" i="1"/>
  <c r="C32" i="1"/>
  <c r="C31" i="1"/>
  <c r="C30" i="1"/>
  <c r="C29" i="1"/>
  <c r="C28" i="1"/>
  <c r="C27" i="1"/>
  <c r="C26" i="1"/>
  <c r="C25" i="1"/>
  <c r="C24" i="1"/>
  <c r="F13" i="1"/>
  <c r="F14" i="1"/>
  <c r="F15" i="1"/>
  <c r="F16" i="1"/>
  <c r="F17" i="1"/>
  <c r="F18" i="1"/>
  <c r="F19" i="1"/>
  <c r="F12" i="1"/>
</calcChain>
</file>

<file path=xl/sharedStrings.xml><?xml version="1.0" encoding="utf-8"?>
<sst xmlns="http://schemas.openxmlformats.org/spreadsheetml/2006/main" count="41" uniqueCount="36">
  <si>
    <t>Particulars</t>
  </si>
  <si>
    <t>Sales (cr)</t>
  </si>
  <si>
    <t>EBIT (Cr)</t>
  </si>
  <si>
    <t>NOPAT (cr)</t>
  </si>
  <si>
    <t>Capex (cr)</t>
  </si>
  <si>
    <t>Depreciation(cr)</t>
  </si>
  <si>
    <t>Increase in Working Capital (cr)</t>
  </si>
  <si>
    <t>Table for Computation of FCFF</t>
  </si>
  <si>
    <t>Year</t>
  </si>
  <si>
    <t>NOPAT</t>
  </si>
  <si>
    <t>Dep</t>
  </si>
  <si>
    <t>CAPEX</t>
  </si>
  <si>
    <t>Increase in WC</t>
  </si>
  <si>
    <t>FCFF</t>
  </si>
  <si>
    <t>Cost of Capital</t>
  </si>
  <si>
    <t>Table for computation of Present Value of FCFF</t>
  </si>
  <si>
    <t>PV of FCFF</t>
  </si>
  <si>
    <t>Total PV of 8 years FCFF</t>
  </si>
  <si>
    <t>Computation of Terminal Value (TV)</t>
  </si>
  <si>
    <t>Terminal Value</t>
  </si>
  <si>
    <t>FCF of 8th Year *(1+g)/k-g</t>
  </si>
  <si>
    <t xml:space="preserve">Growth Rate </t>
  </si>
  <si>
    <t>Crores</t>
  </si>
  <si>
    <t>PV of Terminal Value</t>
  </si>
  <si>
    <t>TV/(1+k)^8</t>
  </si>
  <si>
    <t>Enterprise Value (EV)</t>
  </si>
  <si>
    <t>Total PV of 8 years + PV of Terminal Value</t>
  </si>
  <si>
    <t>Computation of Equity Value</t>
  </si>
  <si>
    <t>Equity Value</t>
  </si>
  <si>
    <t>EV-Total Debt + Cash &amp; CE</t>
  </si>
  <si>
    <t>Intrinsic Value</t>
  </si>
  <si>
    <t>Equity Value/No. of shares</t>
  </si>
  <si>
    <t>No. of shares</t>
  </si>
  <si>
    <t>CMP</t>
  </si>
  <si>
    <t>Rs</t>
  </si>
  <si>
    <t>CMP&gt;IV,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</si>
</sst>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9" fontId="0" fillId="0" borderId="0" xfId="0" applyNumberFormat="1"/>
    <xf numFmtId="0" fontId="1" fillId="0" borderId="0" xfId="0" applyFont="1"/>
    <xf numFmtId="0" fontId="0" fillId="2" borderId="0" xfId="0" applyFill="1"/>
    <xf numFmtId="0" fontId="1" fillId="2" borderId="1" xfId="0" applyFont="1" applyFill="1" applyBorder="1"/>
    <xf numFmtId="3" fontId="0" fillId="0" borderId="0" xfId="0" applyNumberForma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41" zoomScale="170" zoomScaleNormal="170" workbookViewId="0">
      <selection activeCell="C51" sqref="C51"/>
    </sheetView>
  </sheetViews>
  <sheetFormatPr defaultRowHeight="14.4" x14ac:dyDescent="0.3"/>
  <cols>
    <col min="1" max="1" width="21.44140625" customWidth="1"/>
    <col min="2" max="2" width="10" customWidth="1"/>
    <col min="3" max="3" width="17.44140625" customWidth="1"/>
    <col min="4" max="4" width="13.6640625" customWidth="1"/>
    <col min="5" max="5" width="14.21875" customWidth="1"/>
    <col min="6" max="6" width="14.33203125" customWidth="1"/>
  </cols>
  <sheetData>
    <row r="1" spans="1:9" x14ac:dyDescent="0.3">
      <c r="A1" t="s">
        <v>0</v>
      </c>
      <c r="B1">
        <v>2026</v>
      </c>
      <c r="C1">
        <v>2027</v>
      </c>
      <c r="D1">
        <v>2028</v>
      </c>
      <c r="E1">
        <v>2029</v>
      </c>
      <c r="F1">
        <v>2030</v>
      </c>
      <c r="G1">
        <v>2031</v>
      </c>
      <c r="H1">
        <v>2032</v>
      </c>
      <c r="I1">
        <v>2033</v>
      </c>
    </row>
    <row r="2" spans="1:9" x14ac:dyDescent="0.3">
      <c r="A2" t="s">
        <v>1</v>
      </c>
      <c r="B2">
        <v>178.1</v>
      </c>
      <c r="C2">
        <v>204.9</v>
      </c>
      <c r="D2">
        <v>235.6</v>
      </c>
      <c r="E2">
        <v>270.89999999999998</v>
      </c>
      <c r="F2">
        <v>311.60000000000002</v>
      </c>
      <c r="G2">
        <v>358.3</v>
      </c>
      <c r="H2">
        <v>412</v>
      </c>
      <c r="I2">
        <v>478.8</v>
      </c>
    </row>
    <row r="3" spans="1:9" x14ac:dyDescent="0.3">
      <c r="A3" t="s">
        <v>2</v>
      </c>
      <c r="B3">
        <v>16.329999999999998</v>
      </c>
      <c r="C3">
        <v>17.25</v>
      </c>
      <c r="D3">
        <v>17.190000000000001</v>
      </c>
      <c r="E3">
        <v>19.579999999999998</v>
      </c>
      <c r="F3">
        <v>22.17</v>
      </c>
      <c r="G3">
        <v>24.95</v>
      </c>
      <c r="H3">
        <v>27.89</v>
      </c>
      <c r="I3">
        <v>30.95</v>
      </c>
    </row>
    <row r="4" spans="1:9" x14ac:dyDescent="0.3">
      <c r="A4" t="s">
        <v>3</v>
      </c>
      <c r="B4">
        <v>10.61</v>
      </c>
      <c r="C4">
        <v>11.21</v>
      </c>
      <c r="D4">
        <v>11.17</v>
      </c>
      <c r="E4">
        <v>12.73</v>
      </c>
      <c r="F4">
        <v>14.41</v>
      </c>
      <c r="G4">
        <v>16.22</v>
      </c>
      <c r="H4">
        <v>18.13</v>
      </c>
      <c r="I4">
        <v>20.12</v>
      </c>
    </row>
    <row r="5" spans="1:9" x14ac:dyDescent="0.3">
      <c r="A5" t="s">
        <v>4</v>
      </c>
      <c r="B5">
        <v>0</v>
      </c>
      <c r="C5">
        <v>0.63</v>
      </c>
      <c r="D5">
        <v>2.36</v>
      </c>
      <c r="E5">
        <v>1.79</v>
      </c>
      <c r="F5">
        <v>1.88</v>
      </c>
      <c r="G5">
        <v>1.97</v>
      </c>
      <c r="H5">
        <v>2.0699999999999998</v>
      </c>
      <c r="I5">
        <v>2.17</v>
      </c>
    </row>
    <row r="6" spans="1:9" x14ac:dyDescent="0.3">
      <c r="A6" t="s">
        <v>5</v>
      </c>
      <c r="B6">
        <v>3.14</v>
      </c>
      <c r="C6">
        <v>2.13</v>
      </c>
      <c r="D6">
        <v>2.68</v>
      </c>
      <c r="E6">
        <v>2.82</v>
      </c>
      <c r="F6">
        <v>2.96</v>
      </c>
      <c r="G6">
        <v>3.11</v>
      </c>
      <c r="H6">
        <v>3.26</v>
      </c>
      <c r="I6">
        <v>3.42</v>
      </c>
    </row>
    <row r="7" spans="1:9" x14ac:dyDescent="0.3">
      <c r="A7" t="s">
        <v>6</v>
      </c>
      <c r="B7">
        <v>0</v>
      </c>
      <c r="C7">
        <v>6.44</v>
      </c>
      <c r="D7">
        <v>4.12</v>
      </c>
      <c r="E7">
        <v>6.1</v>
      </c>
      <c r="F7">
        <v>9.4499999999999993</v>
      </c>
      <c r="G7">
        <v>11.67</v>
      </c>
      <c r="H7">
        <v>12.97</v>
      </c>
      <c r="I7">
        <v>14.32</v>
      </c>
    </row>
    <row r="10" spans="1:9" x14ac:dyDescent="0.3">
      <c r="A10" s="9" t="s">
        <v>7</v>
      </c>
      <c r="B10" s="9"/>
      <c r="C10" s="9"/>
      <c r="D10" s="9"/>
      <c r="E10" s="9"/>
      <c r="F10" s="9"/>
    </row>
    <row r="11" spans="1:9" x14ac:dyDescent="0.3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</row>
    <row r="12" spans="1:9" x14ac:dyDescent="0.3">
      <c r="A12" s="2">
        <v>2026</v>
      </c>
      <c r="B12" s="2">
        <v>10.61</v>
      </c>
      <c r="C12" s="2">
        <v>3.14</v>
      </c>
      <c r="D12" s="2">
        <v>0</v>
      </c>
      <c r="E12" s="2">
        <v>0</v>
      </c>
      <c r="F12" s="2">
        <f>B12+C12-D12-E12</f>
        <v>13.75</v>
      </c>
    </row>
    <row r="13" spans="1:9" x14ac:dyDescent="0.3">
      <c r="A13" s="2">
        <v>2027</v>
      </c>
      <c r="B13" s="2">
        <v>11.21</v>
      </c>
      <c r="C13" s="2">
        <v>2.13</v>
      </c>
      <c r="D13" s="2">
        <v>0.63</v>
      </c>
      <c r="E13" s="2">
        <v>6.44</v>
      </c>
      <c r="F13" s="2">
        <f t="shared" ref="F13:F19" si="0">B13+C13-D13-E13</f>
        <v>6.2699999999999987</v>
      </c>
    </row>
    <row r="14" spans="1:9" x14ac:dyDescent="0.3">
      <c r="A14" s="2">
        <v>2028</v>
      </c>
      <c r="B14" s="2">
        <v>11.17</v>
      </c>
      <c r="C14" s="2">
        <v>2.68</v>
      </c>
      <c r="D14" s="2">
        <v>2.36</v>
      </c>
      <c r="E14" s="2">
        <v>4.12</v>
      </c>
      <c r="F14" s="2">
        <f t="shared" si="0"/>
        <v>7.37</v>
      </c>
    </row>
    <row r="15" spans="1:9" x14ac:dyDescent="0.3">
      <c r="A15" s="2">
        <v>2029</v>
      </c>
      <c r="B15" s="2">
        <v>12.73</v>
      </c>
      <c r="C15" s="2">
        <v>2.82</v>
      </c>
      <c r="D15" s="2">
        <v>1.79</v>
      </c>
      <c r="E15" s="2">
        <v>6.1</v>
      </c>
      <c r="F15" s="2">
        <f t="shared" si="0"/>
        <v>7.6600000000000019</v>
      </c>
    </row>
    <row r="16" spans="1:9" x14ac:dyDescent="0.3">
      <c r="A16" s="2">
        <v>2030</v>
      </c>
      <c r="B16" s="2">
        <v>14.41</v>
      </c>
      <c r="C16" s="2">
        <v>2.96</v>
      </c>
      <c r="D16" s="2">
        <v>1.88</v>
      </c>
      <c r="E16" s="2">
        <v>9.4499999999999993</v>
      </c>
      <c r="F16" s="2">
        <f t="shared" si="0"/>
        <v>6.0400000000000027</v>
      </c>
    </row>
    <row r="17" spans="1:6" x14ac:dyDescent="0.3">
      <c r="A17" s="2">
        <v>2031</v>
      </c>
      <c r="B17" s="2">
        <v>16.22</v>
      </c>
      <c r="C17" s="2">
        <v>3.11</v>
      </c>
      <c r="D17" s="2">
        <v>1.97</v>
      </c>
      <c r="E17" s="2">
        <v>11.67</v>
      </c>
      <c r="F17" s="2">
        <f t="shared" si="0"/>
        <v>5.6899999999999995</v>
      </c>
    </row>
    <row r="18" spans="1:6" x14ac:dyDescent="0.3">
      <c r="A18" s="2">
        <v>2032</v>
      </c>
      <c r="B18" s="2">
        <v>18.13</v>
      </c>
      <c r="C18" s="2">
        <v>3.26</v>
      </c>
      <c r="D18" s="2">
        <v>2.0699999999999998</v>
      </c>
      <c r="E18" s="2">
        <v>12.97</v>
      </c>
      <c r="F18" s="2">
        <f t="shared" si="0"/>
        <v>6.35</v>
      </c>
    </row>
    <row r="19" spans="1:6" x14ac:dyDescent="0.3">
      <c r="A19" s="2">
        <v>2033</v>
      </c>
      <c r="B19" s="2">
        <v>20.12</v>
      </c>
      <c r="C19" s="2">
        <v>3.42</v>
      </c>
      <c r="D19" s="2">
        <v>2.17</v>
      </c>
      <c r="E19" s="2">
        <v>14.32</v>
      </c>
      <c r="F19" s="2">
        <f t="shared" si="0"/>
        <v>7.0499999999999972</v>
      </c>
    </row>
    <row r="21" spans="1:6" x14ac:dyDescent="0.3">
      <c r="A21" t="s">
        <v>14</v>
      </c>
      <c r="B21" s="4">
        <v>0.15</v>
      </c>
    </row>
    <row r="22" spans="1:6" x14ac:dyDescent="0.3">
      <c r="A22" s="12" t="s">
        <v>15</v>
      </c>
      <c r="B22" s="12"/>
      <c r="C22" s="12"/>
    </row>
    <row r="23" spans="1:6" x14ac:dyDescent="0.3">
      <c r="A23" s="3" t="s">
        <v>8</v>
      </c>
      <c r="B23" s="3" t="s">
        <v>13</v>
      </c>
      <c r="C23" s="3" t="s">
        <v>16</v>
      </c>
    </row>
    <row r="24" spans="1:6" x14ac:dyDescent="0.3">
      <c r="A24" s="2">
        <v>2026</v>
      </c>
      <c r="B24" s="1">
        <v>13.75</v>
      </c>
      <c r="C24" s="1">
        <f>B24/(1+B21)^1</f>
        <v>11.956521739130435</v>
      </c>
    </row>
    <row r="25" spans="1:6" x14ac:dyDescent="0.3">
      <c r="A25" s="2">
        <v>2027</v>
      </c>
      <c r="B25" s="1">
        <v>6.2699999999999987</v>
      </c>
      <c r="C25" s="1">
        <f>B25/(1+B21)^2</f>
        <v>4.7410207939508506</v>
      </c>
    </row>
    <row r="26" spans="1:6" x14ac:dyDescent="0.3">
      <c r="A26" s="2">
        <v>2028</v>
      </c>
      <c r="B26" s="1">
        <v>7.37</v>
      </c>
      <c r="C26" s="1">
        <f>B26/(1+B21)^3</f>
        <v>4.8458946330237547</v>
      </c>
    </row>
    <row r="27" spans="1:6" x14ac:dyDescent="0.3">
      <c r="A27" s="2">
        <v>2029</v>
      </c>
      <c r="B27" s="1">
        <v>7.6600000000000019</v>
      </c>
      <c r="C27" s="1">
        <f>B27/(1+B21)^4</f>
        <v>4.3796298612426368</v>
      </c>
    </row>
    <row r="28" spans="1:6" x14ac:dyDescent="0.3">
      <c r="A28" s="2">
        <v>2030</v>
      </c>
      <c r="B28" s="1">
        <v>6.0400000000000027</v>
      </c>
      <c r="C28" s="1">
        <f>B28/(1+B21)^5</f>
        <v>3.0029474812016721</v>
      </c>
    </row>
    <row r="29" spans="1:6" x14ac:dyDescent="0.3">
      <c r="A29" s="2">
        <v>2031</v>
      </c>
      <c r="B29" s="1">
        <v>5.6899999999999995</v>
      </c>
      <c r="C29" s="1">
        <f>B29/(1+B21)^6</f>
        <v>2.459944020736756</v>
      </c>
    </row>
    <row r="30" spans="1:6" x14ac:dyDescent="0.3">
      <c r="A30" s="2">
        <v>2032</v>
      </c>
      <c r="B30" s="1">
        <v>6.35</v>
      </c>
      <c r="C30" s="1">
        <f>B30/(1+B21)^7</f>
        <v>2.3872002035116382</v>
      </c>
    </row>
    <row r="31" spans="1:6" x14ac:dyDescent="0.3">
      <c r="A31" s="2">
        <v>2033</v>
      </c>
      <c r="B31" s="1">
        <v>7.0499999999999972</v>
      </c>
      <c r="C31" s="1">
        <f>B31/(1+B21)^8</f>
        <v>2.3046575056154803</v>
      </c>
    </row>
    <row r="32" spans="1:6" x14ac:dyDescent="0.3">
      <c r="A32" s="10" t="s">
        <v>17</v>
      </c>
      <c r="B32" s="11"/>
      <c r="C32" s="7">
        <f>SUM(C24:C31)</f>
        <v>36.077816238413227</v>
      </c>
    </row>
    <row r="34" spans="1:6" x14ac:dyDescent="0.3">
      <c r="A34" s="5" t="s">
        <v>18</v>
      </c>
      <c r="D34" t="s">
        <v>21</v>
      </c>
      <c r="E34" s="4">
        <v>0.1</v>
      </c>
    </row>
    <row r="35" spans="1:6" x14ac:dyDescent="0.3">
      <c r="A35" t="s">
        <v>19</v>
      </c>
      <c r="B35" t="s">
        <v>20</v>
      </c>
    </row>
    <row r="36" spans="1:6" x14ac:dyDescent="0.3">
      <c r="B36">
        <f>B31*(1+10%)/(15%-10%)</f>
        <v>155.09999999999997</v>
      </c>
      <c r="C36" t="s">
        <v>22</v>
      </c>
    </row>
    <row r="38" spans="1:6" x14ac:dyDescent="0.3">
      <c r="A38" t="s">
        <v>23</v>
      </c>
      <c r="B38" t="s">
        <v>24</v>
      </c>
    </row>
    <row r="39" spans="1:6" x14ac:dyDescent="0.3">
      <c r="B39" s="6">
        <f>B36/(1+15%)^8</f>
        <v>50.702465123540577</v>
      </c>
    </row>
    <row r="41" spans="1:6" x14ac:dyDescent="0.3">
      <c r="A41" t="s">
        <v>25</v>
      </c>
      <c r="B41" t="s">
        <v>26</v>
      </c>
    </row>
    <row r="42" spans="1:6" x14ac:dyDescent="0.3">
      <c r="B42" s="6">
        <f>C32+B39</f>
        <v>86.780281361953797</v>
      </c>
    </row>
    <row r="44" spans="1:6" x14ac:dyDescent="0.3">
      <c r="A44" s="5" t="s">
        <v>27</v>
      </c>
    </row>
    <row r="45" spans="1:6" x14ac:dyDescent="0.3">
      <c r="A45" t="s">
        <v>28</v>
      </c>
      <c r="B45" t="s">
        <v>29</v>
      </c>
    </row>
    <row r="46" spans="1:6" x14ac:dyDescent="0.3">
      <c r="B46">
        <f>86.78021-7.92+0</f>
        <v>78.860209999999995</v>
      </c>
      <c r="C46" t="s">
        <v>22</v>
      </c>
    </row>
    <row r="48" spans="1:6" x14ac:dyDescent="0.3">
      <c r="A48" t="s">
        <v>30</v>
      </c>
      <c r="B48" t="s">
        <v>31</v>
      </c>
      <c r="E48" t="s">
        <v>32</v>
      </c>
      <c r="F48" s="8">
        <v>5000000</v>
      </c>
    </row>
    <row r="49" spans="1:6" x14ac:dyDescent="0.3">
      <c r="B49">
        <f>F49/F48</f>
        <v>157.72041999999999</v>
      </c>
      <c r="C49" t="s">
        <v>34</v>
      </c>
      <c r="E49" t="s">
        <v>28</v>
      </c>
      <c r="F49">
        <f>B46*10000000</f>
        <v>788602100</v>
      </c>
    </row>
    <row r="51" spans="1:6" x14ac:dyDescent="0.3">
      <c r="A51" t="s">
        <v>33</v>
      </c>
      <c r="B51">
        <v>200</v>
      </c>
      <c r="C51" t="s">
        <v>34</v>
      </c>
    </row>
    <row r="53" spans="1:6" x14ac:dyDescent="0.3">
      <c r="A53" s="6" t="s">
        <v>35</v>
      </c>
    </row>
  </sheetData>
  <mergeCells count="3">
    <mergeCell ref="A10:F10"/>
    <mergeCell ref="A32:B32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ISBSADMIN</dc:creator>
  <cp:lastModifiedBy>Sarita Agarwal ISBS PGDM</cp:lastModifiedBy>
  <dcterms:created xsi:type="dcterms:W3CDTF">2015-06-05T18:17:20Z</dcterms:created>
  <dcterms:modified xsi:type="dcterms:W3CDTF">2026-03-23T05:10:33Z</dcterms:modified>
</cp:coreProperties>
</file>