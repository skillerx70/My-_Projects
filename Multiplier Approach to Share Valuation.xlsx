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Om\OneDrive\Desktop\"/>
    </mc:Choice>
  </mc:AlternateContent>
  <xr:revisionPtr revIDLastSave="0" documentId="13_ncr:1_{DB23AE0F-F622-41BF-9C80-718169A103E1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EVEBITDA" sheetId="1" r:id="rId1"/>
    <sheet name="PE Multiple" sheetId="2" r:id="rId2"/>
    <sheet name="PS Multiple" sheetId="3" r:id="rId3"/>
    <sheet name="PBV Multiple" sheetId="5" r:id="rId4"/>
    <sheet name="Final HUL Valuation" sheetId="4" r:id="rId5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2" i="3" l="1"/>
  <c r="C21" i="3"/>
  <c r="B21" i="3"/>
  <c r="C20" i="3"/>
  <c r="B20" i="3"/>
  <c r="B19" i="3"/>
  <c r="C19" i="3"/>
  <c r="F13" i="3"/>
  <c r="B9" i="3"/>
  <c r="C6" i="4"/>
  <c r="F25" i="2"/>
  <c r="E25" i="2"/>
  <c r="D25" i="2"/>
  <c r="C25" i="2"/>
  <c r="B25" i="2"/>
  <c r="E24" i="2"/>
  <c r="D24" i="2"/>
  <c r="C24" i="2"/>
  <c r="B24" i="2"/>
  <c r="E23" i="2"/>
  <c r="D23" i="2"/>
  <c r="C23" i="2"/>
  <c r="B23" i="2"/>
  <c r="F13" i="2"/>
  <c r="B6" i="2"/>
  <c r="B7" i="2"/>
  <c r="B9" i="2"/>
  <c r="D28" i="1"/>
  <c r="C28" i="1"/>
  <c r="D27" i="1"/>
  <c r="C27" i="1"/>
  <c r="B28" i="1"/>
  <c r="B27" i="1"/>
  <c r="F21" i="1"/>
  <c r="B11" i="1"/>
  <c r="B12" i="1"/>
  <c r="B16" i="1"/>
  <c r="B18" i="1"/>
</calcChain>
</file>

<file path=xl/sharedStrings.xml><?xml version="1.0" encoding="utf-8"?>
<sst xmlns="http://schemas.openxmlformats.org/spreadsheetml/2006/main" count="133" uniqueCount="90">
  <si>
    <t>Market Cap = No. of Shares* MP</t>
  </si>
  <si>
    <t>Enterprise Value = Market Cap + Net Debt</t>
  </si>
  <si>
    <t>Net Debt = Total Debt - C&amp;CE</t>
  </si>
  <si>
    <t>Particulars</t>
  </si>
  <si>
    <t>Market Price per share</t>
  </si>
  <si>
    <t>No. of Shares</t>
  </si>
  <si>
    <t>Market Cap (in Crores)</t>
  </si>
  <si>
    <t>Total Debt (in Crores)</t>
  </si>
  <si>
    <t>C&amp;CE (in Crores)</t>
  </si>
  <si>
    <t>Net Debt (in crores)</t>
  </si>
  <si>
    <t>Enterprise Value (in crores)</t>
  </si>
  <si>
    <t>EBITDA(TTM) (in crores)</t>
  </si>
  <si>
    <t>EV/EBITDA</t>
  </si>
  <si>
    <t>Rs.</t>
  </si>
  <si>
    <t>Value research/NSE</t>
  </si>
  <si>
    <t>BSE/Annual report</t>
  </si>
  <si>
    <t>CAGR</t>
  </si>
  <si>
    <t>Scenario Building</t>
  </si>
  <si>
    <t>Expected Growth Rate</t>
  </si>
  <si>
    <t>Expected EBITDA(in crores)</t>
  </si>
  <si>
    <t>Expected EV (in crores)</t>
  </si>
  <si>
    <t>Expected Equity Value (in crores)</t>
  </si>
  <si>
    <t>Expected Equity Value Per Share</t>
  </si>
  <si>
    <t>Source</t>
  </si>
  <si>
    <t>Value Research</t>
  </si>
  <si>
    <t>Year</t>
  </si>
  <si>
    <t>Market Price</t>
  </si>
  <si>
    <t xml:space="preserve">Market Cap </t>
  </si>
  <si>
    <t>Market Cap (in crores)</t>
  </si>
  <si>
    <t>TTM PAT (in crores)</t>
  </si>
  <si>
    <t>PE Ratio of Britannia</t>
  </si>
  <si>
    <t>Amount</t>
  </si>
  <si>
    <t>Value Research/NSE</t>
  </si>
  <si>
    <t>BSE - Annual Report</t>
  </si>
  <si>
    <t>Annual PAT (in Croces)</t>
  </si>
  <si>
    <t>EBITDA (in crores)</t>
  </si>
  <si>
    <t>Expected PAT Growth Rate</t>
  </si>
  <si>
    <t>Expected PAT (in crores)</t>
  </si>
  <si>
    <t>Expected Market Cap (in crores)</t>
  </si>
  <si>
    <t>Price Per Share</t>
  </si>
  <si>
    <t>Inward Approach</t>
  </si>
  <si>
    <t>Peer Approach</t>
  </si>
  <si>
    <t>Scenario A</t>
  </si>
  <si>
    <t>Scenario B</t>
  </si>
  <si>
    <t>Price/Earning = Market Cap/Total PAT</t>
  </si>
  <si>
    <t>Industry PE (Screener)</t>
  </si>
  <si>
    <t>Scenario Building (Inward Valuation)</t>
  </si>
  <si>
    <t>Scenario Building (Inward/Outward Valuation)</t>
  </si>
  <si>
    <t>No. of share</t>
  </si>
  <si>
    <t>M Cap</t>
  </si>
  <si>
    <t>M Cap in crores</t>
  </si>
  <si>
    <t>TTM Revenue in crores</t>
  </si>
  <si>
    <t>Revenue multiple</t>
  </si>
  <si>
    <t xml:space="preserve">Scene A </t>
  </si>
  <si>
    <t xml:space="preserve">Scene B </t>
  </si>
  <si>
    <t>Revenue growth</t>
  </si>
  <si>
    <t>Expected Mcap in crores</t>
  </si>
  <si>
    <t xml:space="preserve">Price per share </t>
  </si>
  <si>
    <t>Average price per share</t>
  </si>
  <si>
    <t>Esitimated revenue in crores 
(Take TTM Revenue)</t>
  </si>
  <si>
    <t>Annual Sales (in Crores)</t>
  </si>
  <si>
    <t>P/S</t>
  </si>
  <si>
    <t>P/E</t>
  </si>
  <si>
    <t>Multiple</t>
  </si>
  <si>
    <t>Current Market Price</t>
  </si>
  <si>
    <t>No. of shares</t>
  </si>
  <si>
    <t>Current BV</t>
  </si>
  <si>
    <t>P/BV</t>
  </si>
  <si>
    <t>Screener</t>
  </si>
  <si>
    <t>Industry P/BV</t>
  </si>
  <si>
    <t>Total Assets</t>
  </si>
  <si>
    <t>Non Current Liabilities</t>
  </si>
  <si>
    <t>Current Liabilities</t>
  </si>
  <si>
    <t>Book Value</t>
  </si>
  <si>
    <t>Expected BV</t>
  </si>
  <si>
    <t>Expected Market Price</t>
  </si>
  <si>
    <t>Average</t>
  </si>
  <si>
    <t>Valuation of HUL using EV/EBITDA Model</t>
  </si>
  <si>
    <t>Valuation of HUL using PE Multiple</t>
  </si>
  <si>
    <t>Valuation of HUL using Price to Sales Multiple</t>
  </si>
  <si>
    <t>Valuation of HUL using P/BV Multiple</t>
  </si>
  <si>
    <t>HUL Value</t>
  </si>
  <si>
    <t>Scenario 1</t>
  </si>
  <si>
    <t>Scenario 2</t>
  </si>
  <si>
    <t>Scenario 3</t>
  </si>
  <si>
    <t>Scenario 4</t>
  </si>
  <si>
    <t>Market Cap (rupees)</t>
  </si>
  <si>
    <t>Exp.M Cap (Inward) = Exp PAT*HUL PE</t>
  </si>
  <si>
    <t>Exp.M Cap (Inward) = Exp PAT*Industry PE</t>
  </si>
  <si>
    <t>TTM Revenue (in crores)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</si>
</sst>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0"/>
      <color theme="1"/>
      <name val="Calibri"/>
      <family val="2"/>
      <scheme val="minor"/>
    </font>
    <font>
      <sz val="14"/>
      <color rgb="FF212529"/>
      <name val="Arial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rgb="FF212529"/>
      <name val="Arial"/>
      <family val="2"/>
    </font>
    <font>
      <sz val="20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4"/>
      <color theme="1"/>
      <name val="Arial"/>
      <family val="2"/>
    </font>
    <font>
      <sz val="14"/>
      <color theme="1"/>
      <name val="Times New Roman"/>
      <family val="1"/>
    </font>
    <font>
      <b/>
      <sz val="14"/>
      <color rgb="FF212529"/>
      <name val="Times New Roman"/>
      <family val="1"/>
    </font>
    <font>
      <b/>
      <sz val="14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rgb="FF000000"/>
      <name val="Arial"/>
      <family val="2"/>
    </font>
    <font>
      <b/>
      <sz val="12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7">
    <xf numFmtId="0" fontId="0" fillId="0" borderId="0" xfId="0"/>
    <xf numFmtId="0" fontId="4" fillId="0" borderId="0" xfId="0" applyFont="1"/>
    <xf numFmtId="0" fontId="0" fillId="0" borderId="1" xfId="0" applyBorder="1"/>
    <xf numFmtId="0" fontId="5" fillId="0" borderId="1" xfId="0" applyFont="1" applyBorder="1"/>
    <xf numFmtId="0" fontId="3" fillId="0" borderId="1" xfId="0" applyFont="1" applyBorder="1"/>
    <xf numFmtId="0" fontId="5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" fontId="8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 vertical="center" wrapText="1"/>
    </xf>
    <xf numFmtId="0" fontId="10" fillId="0" borderId="0" xfId="0" applyFont="1"/>
    <xf numFmtId="17" fontId="9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4" fontId="0" fillId="0" borderId="1" xfId="0" applyNumberFormat="1" applyBorder="1"/>
    <xf numFmtId="0" fontId="11" fillId="0" borderId="1" xfId="0" applyFont="1" applyBorder="1"/>
    <xf numFmtId="0" fontId="12" fillId="0" borderId="1" xfId="0" applyFont="1" applyBorder="1"/>
    <xf numFmtId="0" fontId="5" fillId="0" borderId="0" xfId="0" applyFont="1"/>
    <xf numFmtId="0" fontId="10" fillId="0" borderId="1" xfId="0" applyFont="1" applyBorder="1"/>
    <xf numFmtId="0" fontId="3" fillId="2" borderId="1" xfId="0" applyFont="1" applyFill="1" applyBorder="1"/>
    <xf numFmtId="0" fontId="0" fillId="2" borderId="1" xfId="0" applyFill="1" applyBorder="1"/>
    <xf numFmtId="0" fontId="10" fillId="0" borderId="1" xfId="0" applyFont="1" applyBorder="1" applyAlignment="1">
      <alignment horizontal="center"/>
    </xf>
    <xf numFmtId="0" fontId="4" fillId="0" borderId="1" xfId="0" applyFont="1" applyBorder="1"/>
    <xf numFmtId="0" fontId="13" fillId="0" borderId="1" xfId="0" applyFont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2" borderId="1" xfId="0" applyFont="1" applyFill="1" applyBorder="1"/>
    <xf numFmtId="0" fontId="4" fillId="0" borderId="1" xfId="0" applyFont="1" applyBorder="1" applyAlignment="1">
      <alignment wrapText="1"/>
    </xf>
    <xf numFmtId="0" fontId="2" fillId="2" borderId="1" xfId="0" applyFont="1" applyFill="1" applyBorder="1"/>
    <xf numFmtId="0" fontId="5" fillId="2" borderId="1" xfId="0" applyFont="1" applyFill="1" applyBorder="1"/>
    <xf numFmtId="17" fontId="14" fillId="2" borderId="1" xfId="0" applyNumberFormat="1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5" fillId="0" borderId="1" xfId="0" applyFont="1" applyBorder="1"/>
    <xf numFmtId="0" fontId="16" fillId="0" borderId="1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2" fillId="0" borderId="1" xfId="0" applyFont="1" applyBorder="1"/>
    <xf numFmtId="0" fontId="17" fillId="0" borderId="1" xfId="0" applyFont="1" applyBorder="1"/>
    <xf numFmtId="0" fontId="17" fillId="0" borderId="0" xfId="0" applyFont="1"/>
    <xf numFmtId="0" fontId="18" fillId="0" borderId="1" xfId="0" applyFont="1" applyBorder="1"/>
    <xf numFmtId="17" fontId="19" fillId="2" borderId="1" xfId="0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center" vertical="center"/>
    </xf>
    <xf numFmtId="0" fontId="20" fillId="0" borderId="1" xfId="0" applyFont="1" applyBorder="1"/>
    <xf numFmtId="17" fontId="3" fillId="0" borderId="1" xfId="0" applyNumberFormat="1" applyFont="1" applyBorder="1" applyAlignment="1">
      <alignment horizontal="center"/>
    </xf>
    <xf numFmtId="0" fontId="21" fillId="0" borderId="1" xfId="0" applyFont="1" applyBorder="1"/>
    <xf numFmtId="0" fontId="6" fillId="0" borderId="0" xfId="0" applyFont="1" applyAlignment="1">
      <alignment horizontal="left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/>
    </xf>
    <xf numFmtId="3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4" fontId="23" fillId="0" borderId="1" xfId="0" applyNumberFormat="1" applyFont="1" applyBorder="1" applyAlignment="1">
      <alignment horizontal="center"/>
    </xf>
    <xf numFmtId="4" fontId="21" fillId="0" borderId="1" xfId="0" applyNumberFormat="1" applyFont="1" applyBorder="1" applyAlignment="1">
      <alignment horizontal="center"/>
    </xf>
    <xf numFmtId="0" fontId="21" fillId="3" borderId="1" xfId="0" applyFont="1" applyFill="1" applyBorder="1" applyAlignment="1">
      <alignment horizontal="center"/>
    </xf>
    <xf numFmtId="4" fontId="23" fillId="2" borderId="1" xfId="0" applyNumberFormat="1" applyFont="1" applyFill="1" applyBorder="1" applyAlignment="1">
      <alignment horizontal="right" vertical="center"/>
    </xf>
    <xf numFmtId="9" fontId="21" fillId="3" borderId="1" xfId="1" applyFont="1" applyFill="1" applyBorder="1"/>
    <xf numFmtId="9" fontId="21" fillId="0" borderId="1" xfId="0" applyNumberFormat="1" applyFont="1" applyBorder="1"/>
    <xf numFmtId="9" fontId="21" fillId="3" borderId="1" xfId="1" applyFont="1" applyFill="1" applyBorder="1" applyAlignment="1">
      <alignment horizontal="center" vertical="top"/>
    </xf>
    <xf numFmtId="0" fontId="21" fillId="0" borderId="1" xfId="0" applyFont="1" applyBorder="1" applyAlignment="1">
      <alignment horizontal="center" vertical="center"/>
    </xf>
    <xf numFmtId="0" fontId="21" fillId="0" borderId="0" xfId="0" applyFont="1" applyAlignment="1">
      <alignment horizontal="center"/>
    </xf>
    <xf numFmtId="9" fontId="21" fillId="0" borderId="1" xfId="0" applyNumberFormat="1" applyFont="1" applyBorder="1" applyAlignment="1">
      <alignment horizontal="center"/>
    </xf>
    <xf numFmtId="3" fontId="0" fillId="0" borderId="1" xfId="0" applyNumberFormat="1" applyFont="1" applyBorder="1" applyAlignment="1">
      <alignment horizontal="center"/>
    </xf>
    <xf numFmtId="0" fontId="21" fillId="4" borderId="0" xfId="0" applyFont="1" applyFill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5" borderId="1" xfId="0" applyFont="1" applyFill="1" applyBorder="1" applyAlignment="1">
      <alignment horizontal="center"/>
    </xf>
    <xf numFmtId="4" fontId="24" fillId="2" borderId="1" xfId="0" applyNumberFormat="1" applyFont="1" applyFill="1" applyBorder="1" applyAlignment="1">
      <alignment horizontal="center" vertical="center"/>
    </xf>
    <xf numFmtId="9" fontId="11" fillId="2" borderId="1" xfId="1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2" xfId="0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1"/>
  <sheetViews>
    <sheetView topLeftCell="A15" zoomScale="115" workbookViewId="0">
      <selection activeCell="F21" sqref="F21"/>
    </sheetView>
  </sheetViews>
  <sheetFormatPr defaultRowHeight="14.4" x14ac:dyDescent="0.3"/>
  <cols>
    <col min="1" max="1" width="34.33203125" customWidth="1"/>
    <col min="2" max="2" width="24.77734375" customWidth="1"/>
    <col min="3" max="3" width="23.44140625" customWidth="1"/>
    <col min="4" max="4" width="17.88671875" customWidth="1"/>
    <col min="5" max="5" width="17.44140625" customWidth="1"/>
    <col min="6" max="6" width="19.33203125" customWidth="1"/>
    <col min="7" max="7" width="16.109375" customWidth="1"/>
  </cols>
  <sheetData>
    <row r="1" spans="1:17" ht="23.4" customHeight="1" x14ac:dyDescent="0.5">
      <c r="A1" s="42" t="s">
        <v>77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17" ht="23.4" x14ac:dyDescent="0.45">
      <c r="A2" s="1"/>
      <c r="B2" s="1"/>
      <c r="C2" s="1"/>
      <c r="D2" s="1"/>
      <c r="E2" s="1"/>
    </row>
    <row r="3" spans="1:17" ht="23.4" x14ac:dyDescent="0.45">
      <c r="A3" s="1" t="s">
        <v>1</v>
      </c>
      <c r="B3" s="1"/>
      <c r="C3" s="1"/>
      <c r="D3" s="1"/>
      <c r="E3" s="1"/>
    </row>
    <row r="5" spans="1:17" ht="23.4" x14ac:dyDescent="0.45">
      <c r="A5" s="1" t="s">
        <v>0</v>
      </c>
      <c r="B5" s="1"/>
      <c r="C5" s="1"/>
      <c r="D5" s="1"/>
      <c r="E5" s="1"/>
    </row>
    <row r="6" spans="1:17" ht="23.4" x14ac:dyDescent="0.45">
      <c r="A6" s="1" t="s">
        <v>2</v>
      </c>
      <c r="B6" s="1"/>
      <c r="C6" s="1"/>
      <c r="D6" s="1"/>
      <c r="E6" s="1"/>
    </row>
    <row r="8" spans="1:17" ht="21" x14ac:dyDescent="0.4">
      <c r="A8" s="3" t="s">
        <v>3</v>
      </c>
      <c r="B8" s="5" t="s">
        <v>13</v>
      </c>
      <c r="C8" s="10" t="s">
        <v>23</v>
      </c>
    </row>
    <row r="9" spans="1:17" ht="21" x14ac:dyDescent="0.4">
      <c r="A9" s="4" t="s">
        <v>4</v>
      </c>
      <c r="B9" s="9">
        <v>2158.1999999999998</v>
      </c>
      <c r="C9" t="s">
        <v>14</v>
      </c>
    </row>
    <row r="10" spans="1:17" ht="21" x14ac:dyDescent="0.4">
      <c r="A10" s="4" t="s">
        <v>5</v>
      </c>
      <c r="B10" s="45">
        <v>2349591262</v>
      </c>
      <c r="C10" t="s">
        <v>15</v>
      </c>
    </row>
    <row r="11" spans="1:17" ht="21" x14ac:dyDescent="0.4">
      <c r="A11" s="4" t="s">
        <v>86</v>
      </c>
      <c r="B11" s="46">
        <f>B10*B9</f>
        <v>5070887861648.3994</v>
      </c>
    </row>
    <row r="12" spans="1:17" ht="21" x14ac:dyDescent="0.4">
      <c r="A12" s="4" t="s">
        <v>6</v>
      </c>
      <c r="B12" s="46">
        <f>B11/10000000</f>
        <v>507088.78616483993</v>
      </c>
    </row>
    <row r="13" spans="1:17" ht="21" x14ac:dyDescent="0.4">
      <c r="A13" s="4" t="s">
        <v>7</v>
      </c>
      <c r="B13" s="47">
        <v>1</v>
      </c>
      <c r="C13" t="s">
        <v>24</v>
      </c>
    </row>
    <row r="14" spans="1:17" ht="21" x14ac:dyDescent="0.4">
      <c r="A14" s="4" t="s">
        <v>8</v>
      </c>
      <c r="B14" s="48">
        <v>7554</v>
      </c>
      <c r="C14" t="s">
        <v>24</v>
      </c>
    </row>
    <row r="15" spans="1:17" ht="21" x14ac:dyDescent="0.4">
      <c r="A15" s="4" t="s">
        <v>9</v>
      </c>
      <c r="B15" s="8"/>
    </row>
    <row r="16" spans="1:17" ht="21" x14ac:dyDescent="0.4">
      <c r="A16" s="4" t="s">
        <v>10</v>
      </c>
      <c r="B16" s="48">
        <f>B12+B13-B14</f>
        <v>499535.78616483993</v>
      </c>
    </row>
    <row r="17" spans="1:6" ht="21" x14ac:dyDescent="0.4">
      <c r="A17" s="4" t="s">
        <v>11</v>
      </c>
      <c r="B17" s="48">
        <v>14854</v>
      </c>
      <c r="C17" t="s">
        <v>24</v>
      </c>
    </row>
    <row r="18" spans="1:6" ht="21" x14ac:dyDescent="0.4">
      <c r="A18" s="4" t="s">
        <v>12</v>
      </c>
      <c r="B18" s="49">
        <f>B16/B17</f>
        <v>33.62971497003096</v>
      </c>
    </row>
    <row r="20" spans="1:6" ht="21" x14ac:dyDescent="0.4">
      <c r="A20" s="4" t="s">
        <v>25</v>
      </c>
      <c r="B20" s="40">
        <v>45717</v>
      </c>
      <c r="C20" s="11">
        <v>45352</v>
      </c>
      <c r="D20" s="11">
        <v>44986</v>
      </c>
      <c r="E20" s="11">
        <v>44621</v>
      </c>
      <c r="F20" s="12" t="s">
        <v>16</v>
      </c>
    </row>
    <row r="21" spans="1:6" ht="21" x14ac:dyDescent="0.4">
      <c r="A21" s="4" t="s">
        <v>35</v>
      </c>
      <c r="B21" s="50">
        <v>14851</v>
      </c>
      <c r="C21" s="50">
        <v>14663</v>
      </c>
      <c r="D21" s="50">
        <v>14149</v>
      </c>
      <c r="E21" s="50">
        <v>12857</v>
      </c>
      <c r="F21" s="51">
        <f>(B21/E21)^(1/3) - 1</f>
        <v>4.9233185292122394E-2</v>
      </c>
    </row>
    <row r="24" spans="1:6" ht="18" x14ac:dyDescent="0.35">
      <c r="A24" s="10" t="s">
        <v>46</v>
      </c>
    </row>
    <row r="25" spans="1:6" ht="15.6" x14ac:dyDescent="0.3">
      <c r="A25" s="14" t="s">
        <v>3</v>
      </c>
      <c r="B25" s="41" t="s">
        <v>82</v>
      </c>
      <c r="C25" s="41" t="s">
        <v>83</v>
      </c>
      <c r="D25" s="41" t="s">
        <v>84</v>
      </c>
      <c r="E25" s="41" t="s">
        <v>85</v>
      </c>
    </row>
    <row r="26" spans="1:6" ht="15.6" x14ac:dyDescent="0.3">
      <c r="A26" s="15" t="s">
        <v>18</v>
      </c>
      <c r="B26" s="52">
        <v>0.05</v>
      </c>
      <c r="C26" s="52">
        <v>0.04</v>
      </c>
      <c r="D26" s="52">
        <v>0.06</v>
      </c>
      <c r="E26" s="2"/>
    </row>
    <row r="27" spans="1:6" ht="15.6" x14ac:dyDescent="0.3">
      <c r="A27" s="15" t="s">
        <v>19</v>
      </c>
      <c r="B27" s="41">
        <f>0.05*B21+B21</f>
        <v>15593.55</v>
      </c>
      <c r="C27" s="41">
        <f>0.04*B21+B21</f>
        <v>15445.04</v>
      </c>
      <c r="D27" s="41">
        <f>0.06*B21+B21</f>
        <v>15742.06</v>
      </c>
    </row>
    <row r="28" spans="1:6" ht="15.6" x14ac:dyDescent="0.3">
      <c r="A28" s="15" t="s">
        <v>20</v>
      </c>
      <c r="B28" s="41">
        <f>B18*B27</f>
        <v>524406.64187092625</v>
      </c>
      <c r="C28" s="41">
        <f>B18*C27</f>
        <v>519412.29290072701</v>
      </c>
      <c r="D28" s="41">
        <f>B18*D27</f>
        <v>529400.9908411256</v>
      </c>
      <c r="E28" s="2"/>
    </row>
    <row r="29" spans="1:6" ht="15.6" x14ac:dyDescent="0.3">
      <c r="A29" s="15" t="s">
        <v>21</v>
      </c>
      <c r="B29" s="13"/>
      <c r="C29" s="2"/>
      <c r="D29" s="2"/>
      <c r="E29" s="2"/>
    </row>
    <row r="30" spans="1:6" ht="15.6" x14ac:dyDescent="0.3">
      <c r="A30" s="15" t="s">
        <v>22</v>
      </c>
      <c r="B30" s="2"/>
      <c r="C30" s="2"/>
      <c r="D30" s="2"/>
      <c r="E30" s="2"/>
    </row>
    <row r="31" spans="1:6" x14ac:dyDescent="0.3">
      <c r="A31" s="2"/>
      <c r="B31" s="2"/>
      <c r="C31" s="2"/>
      <c r="D31" s="2"/>
      <c r="E31" s="2"/>
    </row>
  </sheetData>
  <mergeCells count="1">
    <mergeCell ref="A1:Q1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6AFF1-640B-442D-AC1F-2FB02C433165}">
  <dimension ref="A1:F28"/>
  <sheetViews>
    <sheetView topLeftCell="A22" zoomScale="140" workbookViewId="0">
      <selection activeCell="F13" sqref="F13"/>
    </sheetView>
  </sheetViews>
  <sheetFormatPr defaultRowHeight="14.4" x14ac:dyDescent="0.3"/>
  <cols>
    <col min="1" max="1" width="36.33203125" customWidth="1"/>
    <col min="2" max="2" width="16.77734375" customWidth="1"/>
    <col min="3" max="3" width="21" customWidth="1"/>
    <col min="4" max="5" width="14.77734375" customWidth="1"/>
    <col min="6" max="6" width="16.44140625" customWidth="1"/>
  </cols>
  <sheetData>
    <row r="1" spans="1:6" ht="21" x14ac:dyDescent="0.4">
      <c r="A1" s="16" t="s">
        <v>78</v>
      </c>
      <c r="B1" s="16"/>
      <c r="C1" s="16"/>
      <c r="D1" s="16"/>
      <c r="E1" s="16"/>
      <c r="F1" t="s">
        <v>44</v>
      </c>
    </row>
    <row r="3" spans="1:6" ht="18" x14ac:dyDescent="0.35">
      <c r="A3" s="17" t="s">
        <v>3</v>
      </c>
      <c r="B3" s="17" t="s">
        <v>31</v>
      </c>
      <c r="C3" s="17" t="s">
        <v>23</v>
      </c>
    </row>
    <row r="4" spans="1:6" x14ac:dyDescent="0.3">
      <c r="A4" s="2" t="s">
        <v>26</v>
      </c>
      <c r="B4" s="45">
        <v>2166.3000000000002</v>
      </c>
      <c r="C4" s="2" t="s">
        <v>32</v>
      </c>
    </row>
    <row r="5" spans="1:6" x14ac:dyDescent="0.3">
      <c r="A5" s="2" t="s">
        <v>5</v>
      </c>
      <c r="B5" s="45">
        <v>2349591262</v>
      </c>
      <c r="C5" s="2" t="s">
        <v>33</v>
      </c>
    </row>
    <row r="6" spans="1:6" x14ac:dyDescent="0.3">
      <c r="A6" s="2" t="s">
        <v>27</v>
      </c>
      <c r="B6" s="54">
        <f>B5*B4</f>
        <v>5089919550870.6006</v>
      </c>
      <c r="C6" s="2"/>
    </row>
    <row r="7" spans="1:6" x14ac:dyDescent="0.3">
      <c r="A7" s="2" t="s">
        <v>28</v>
      </c>
      <c r="B7" s="45">
        <f>B6/10000000</f>
        <v>508991.95508706005</v>
      </c>
      <c r="C7" s="2"/>
    </row>
    <row r="8" spans="1:6" x14ac:dyDescent="0.3">
      <c r="A8" s="2" t="s">
        <v>29</v>
      </c>
      <c r="B8" s="45">
        <v>10067</v>
      </c>
      <c r="C8" s="2" t="s">
        <v>24</v>
      </c>
    </row>
    <row r="9" spans="1:6" x14ac:dyDescent="0.3">
      <c r="A9" s="2" t="s">
        <v>30</v>
      </c>
      <c r="B9" s="45">
        <f>B7/B8</f>
        <v>50.560440556974278</v>
      </c>
      <c r="C9" s="2"/>
    </row>
    <row r="12" spans="1:6" ht="21" x14ac:dyDescent="0.4">
      <c r="A12" s="18" t="s">
        <v>3</v>
      </c>
      <c r="B12" s="11">
        <v>45717</v>
      </c>
      <c r="C12" s="11">
        <v>45352</v>
      </c>
      <c r="D12" s="11">
        <v>44986</v>
      </c>
      <c r="E12" s="11">
        <v>44621</v>
      </c>
      <c r="F12" s="12" t="s">
        <v>16</v>
      </c>
    </row>
    <row r="13" spans="1:6" x14ac:dyDescent="0.3">
      <c r="A13" s="19" t="s">
        <v>34</v>
      </c>
      <c r="B13" s="50">
        <v>10671</v>
      </c>
      <c r="C13" s="50">
        <v>10282</v>
      </c>
      <c r="D13" s="50">
        <v>10140</v>
      </c>
      <c r="E13" s="50">
        <v>8887</v>
      </c>
      <c r="F13" s="53">
        <f>(B13/E13)^(1/3) - 1</f>
        <v>6.2877743888561932E-2</v>
      </c>
    </row>
    <row r="15" spans="1:6" x14ac:dyDescent="0.3">
      <c r="A15" t="s">
        <v>45</v>
      </c>
      <c r="B15" s="55">
        <v>41.9</v>
      </c>
    </row>
    <row r="18" spans="1:6" ht="18" x14ac:dyDescent="0.35">
      <c r="A18" s="10" t="s">
        <v>47</v>
      </c>
    </row>
    <row r="19" spans="1:6" ht="18" x14ac:dyDescent="0.35">
      <c r="A19" s="43" t="s">
        <v>3</v>
      </c>
      <c r="B19" s="44" t="s">
        <v>40</v>
      </c>
      <c r="C19" s="44"/>
      <c r="D19" s="44" t="s">
        <v>41</v>
      </c>
      <c r="E19" s="44"/>
    </row>
    <row r="20" spans="1:6" ht="18" x14ac:dyDescent="0.35">
      <c r="A20" s="43"/>
      <c r="B20" s="20" t="s">
        <v>42</v>
      </c>
      <c r="C20" s="20" t="s">
        <v>43</v>
      </c>
      <c r="D20" s="20" t="s">
        <v>42</v>
      </c>
      <c r="E20" s="20" t="s">
        <v>43</v>
      </c>
    </row>
    <row r="21" spans="1:6" x14ac:dyDescent="0.3">
      <c r="A21" s="2" t="s">
        <v>29</v>
      </c>
      <c r="B21" s="57">
        <v>10067</v>
      </c>
      <c r="C21" s="57">
        <v>10067</v>
      </c>
      <c r="D21" s="57">
        <v>10067</v>
      </c>
      <c r="E21" s="57">
        <v>10067</v>
      </c>
    </row>
    <row r="22" spans="1:6" x14ac:dyDescent="0.3">
      <c r="A22" s="19" t="s">
        <v>36</v>
      </c>
      <c r="B22" s="56">
        <v>0.06</v>
      </c>
      <c r="C22" s="56">
        <v>0.05</v>
      </c>
      <c r="D22" s="56">
        <v>0.06</v>
      </c>
      <c r="E22" s="56">
        <v>0.05</v>
      </c>
    </row>
    <row r="23" spans="1:6" x14ac:dyDescent="0.3">
      <c r="A23" s="2" t="s">
        <v>37</v>
      </c>
      <c r="B23" s="7">
        <f>B21+B22*B21</f>
        <v>10671.02</v>
      </c>
      <c r="C23" s="7">
        <f>C21+C22*C21</f>
        <v>10570.35</v>
      </c>
      <c r="D23" s="7">
        <f>D21+D22*D21</f>
        <v>10671.02</v>
      </c>
      <c r="E23" s="7">
        <f>E21+E22*E21</f>
        <v>10570.35</v>
      </c>
    </row>
    <row r="24" spans="1:6" x14ac:dyDescent="0.3">
      <c r="A24" s="2" t="s">
        <v>38</v>
      </c>
      <c r="B24" s="7">
        <f>B23*B9</f>
        <v>539531.47239228373</v>
      </c>
      <c r="C24" s="6">
        <f>B9*C23</f>
        <v>534441.55284141307</v>
      </c>
      <c r="D24" s="7">
        <f>D23*B15</f>
        <v>447115.73800000001</v>
      </c>
      <c r="E24" s="7">
        <f>E23*B15</f>
        <v>442897.66499999998</v>
      </c>
    </row>
    <row r="25" spans="1:6" x14ac:dyDescent="0.3">
      <c r="A25" s="2" t="s">
        <v>39</v>
      </c>
      <c r="B25" s="46">
        <f>B24*10000000/B5</f>
        <v>2296.2780000000002</v>
      </c>
      <c r="C25" s="46">
        <f>C24*10000000/B5</f>
        <v>2274.6150000000002</v>
      </c>
      <c r="D25" s="46">
        <f>D24*10000000/B5</f>
        <v>1902.9511440190231</v>
      </c>
      <c r="E25" s="46">
        <f>E24*10000000/B5</f>
        <v>1884.9987747358248</v>
      </c>
      <c r="F25" s="58">
        <f>AVERAGE(B25:E25)</f>
        <v>2089.710729688712</v>
      </c>
    </row>
    <row r="27" spans="1:6" x14ac:dyDescent="0.3">
      <c r="A27" t="s">
        <v>87</v>
      </c>
    </row>
    <row r="28" spans="1:6" x14ac:dyDescent="0.3">
      <c r="A28" t="s">
        <v>88</v>
      </c>
    </row>
  </sheetData>
  <mergeCells count="3">
    <mergeCell ref="A19:A20"/>
    <mergeCell ref="B19:C19"/>
    <mergeCell ref="D19:E1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42648-ED05-415F-A7AE-3684647483F1}">
  <dimension ref="A1:F22"/>
  <sheetViews>
    <sheetView zoomScale="102" workbookViewId="0">
      <selection activeCell="B22" sqref="B22:C22"/>
    </sheetView>
  </sheetViews>
  <sheetFormatPr defaultRowHeight="14.4" x14ac:dyDescent="0.3"/>
  <cols>
    <col min="1" max="1" width="41" customWidth="1"/>
    <col min="2" max="2" width="21.21875" customWidth="1"/>
    <col min="3" max="3" width="24.44140625" customWidth="1"/>
    <col min="4" max="4" width="15.109375" customWidth="1"/>
    <col min="5" max="5" width="17.5546875" customWidth="1"/>
    <col min="6" max="6" width="21.88671875" customWidth="1"/>
    <col min="7" max="7" width="26.5546875" customWidth="1"/>
  </cols>
  <sheetData>
    <row r="1" spans="1:6" ht="21" x14ac:dyDescent="0.4">
      <c r="A1" s="16" t="s">
        <v>79</v>
      </c>
      <c r="B1" s="16"/>
    </row>
    <row r="3" spans="1:6" ht="18" x14ac:dyDescent="0.35">
      <c r="A3" s="10" t="s">
        <v>3</v>
      </c>
      <c r="B3" s="17" t="s">
        <v>31</v>
      </c>
      <c r="C3" s="17" t="s">
        <v>23</v>
      </c>
    </row>
    <row r="4" spans="1:6" ht="21" x14ac:dyDescent="0.4">
      <c r="A4" s="4" t="s">
        <v>26</v>
      </c>
      <c r="B4" s="59">
        <v>2166.3000000000002</v>
      </c>
      <c r="C4" s="2" t="s">
        <v>32</v>
      </c>
    </row>
    <row r="5" spans="1:6" ht="21" x14ac:dyDescent="0.4">
      <c r="A5" s="4" t="s">
        <v>48</v>
      </c>
      <c r="B5" s="59">
        <v>2349591262</v>
      </c>
      <c r="C5" s="2" t="s">
        <v>33</v>
      </c>
    </row>
    <row r="6" spans="1:6" ht="21" x14ac:dyDescent="0.4">
      <c r="A6" s="4" t="s">
        <v>49</v>
      </c>
      <c r="B6" s="59">
        <v>5089919550870.6006</v>
      </c>
      <c r="C6" s="2"/>
    </row>
    <row r="7" spans="1:6" ht="21" x14ac:dyDescent="0.4">
      <c r="A7" s="4" t="s">
        <v>50</v>
      </c>
      <c r="B7" s="59">
        <v>508991.95508706005</v>
      </c>
      <c r="C7" s="2"/>
    </row>
    <row r="8" spans="1:6" ht="21" x14ac:dyDescent="0.4">
      <c r="A8" s="4" t="s">
        <v>51</v>
      </c>
      <c r="B8" s="59">
        <v>64866</v>
      </c>
      <c r="C8" s="2" t="s">
        <v>24</v>
      </c>
    </row>
    <row r="9" spans="1:6" ht="21" x14ac:dyDescent="0.4">
      <c r="A9" s="4" t="s">
        <v>52</v>
      </c>
      <c r="B9" s="60">
        <f>B7/B8</f>
        <v>7.846821988207382</v>
      </c>
      <c r="C9" s="2"/>
    </row>
    <row r="12" spans="1:6" ht="21" x14ac:dyDescent="0.4">
      <c r="A12" s="27" t="s">
        <v>3</v>
      </c>
      <c r="B12" s="28">
        <v>45717</v>
      </c>
      <c r="C12" s="28">
        <v>45352</v>
      </c>
      <c r="D12" s="28">
        <v>44986</v>
      </c>
      <c r="E12" s="28">
        <v>44621</v>
      </c>
      <c r="F12" s="29" t="s">
        <v>16</v>
      </c>
    </row>
    <row r="13" spans="1:6" ht="27" customHeight="1" x14ac:dyDescent="0.35">
      <c r="A13" s="26" t="s">
        <v>60</v>
      </c>
      <c r="B13" s="61">
        <v>63121</v>
      </c>
      <c r="C13" s="61">
        <v>61896</v>
      </c>
      <c r="D13" s="61">
        <v>60580</v>
      </c>
      <c r="E13" s="61">
        <v>52446</v>
      </c>
      <c r="F13" s="62">
        <f>(B13/E13)^(1/3) - 1</f>
        <v>6.3703283859108728E-2</v>
      </c>
    </row>
    <row r="15" spans="1:6" ht="21" x14ac:dyDescent="0.4">
      <c r="A15" s="16" t="s">
        <v>17</v>
      </c>
    </row>
    <row r="16" spans="1:6" ht="23.4" x14ac:dyDescent="0.45">
      <c r="A16" s="21"/>
      <c r="B16" s="22" t="s">
        <v>53</v>
      </c>
      <c r="C16" s="22" t="s">
        <v>54</v>
      </c>
    </row>
    <row r="17" spans="1:3" ht="23.4" x14ac:dyDescent="0.45">
      <c r="A17" s="24" t="s">
        <v>55</v>
      </c>
      <c r="B17" s="23">
        <v>0.06</v>
      </c>
      <c r="C17" s="23">
        <v>0.05</v>
      </c>
    </row>
    <row r="18" spans="1:3" ht="23.4" x14ac:dyDescent="0.45">
      <c r="A18" s="24" t="s">
        <v>89</v>
      </c>
      <c r="B18" s="63">
        <v>64866</v>
      </c>
      <c r="C18" s="63">
        <v>64866</v>
      </c>
    </row>
    <row r="19" spans="1:3" ht="46.8" x14ac:dyDescent="0.45">
      <c r="A19" s="25" t="s">
        <v>59</v>
      </c>
      <c r="B19" s="63">
        <f>B18+B17*B18</f>
        <v>68757.960000000006</v>
      </c>
      <c r="C19" s="63">
        <f>C18+C17*C18</f>
        <v>68109.3</v>
      </c>
    </row>
    <row r="20" spans="1:3" ht="23.4" x14ac:dyDescent="0.45">
      <c r="A20" s="21" t="s">
        <v>56</v>
      </c>
      <c r="B20" s="63">
        <f>B19*B9</f>
        <v>539531.47239228373</v>
      </c>
      <c r="C20" s="63">
        <f>C19*B9</f>
        <v>534441.55284141307</v>
      </c>
    </row>
    <row r="21" spans="1:3" ht="23.4" x14ac:dyDescent="0.45">
      <c r="A21" s="21" t="s">
        <v>57</v>
      </c>
      <c r="B21" s="63">
        <f>B20*10000000/B5</f>
        <v>2296.2780000000002</v>
      </c>
      <c r="C21" s="63">
        <f>C20*10000000/B5</f>
        <v>2274.6150000000002</v>
      </c>
    </row>
    <row r="22" spans="1:3" ht="23.4" x14ac:dyDescent="0.45">
      <c r="A22" s="21" t="s">
        <v>58</v>
      </c>
      <c r="B22" s="64">
        <f>AVERAGE(B21:C21)</f>
        <v>2285.4465</v>
      </c>
      <c r="C22" s="65"/>
    </row>
  </sheetData>
  <mergeCells count="1">
    <mergeCell ref="B22:C2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95C9E-F2CA-4C82-898A-9154B8331BE6}">
  <dimension ref="A1:F25"/>
  <sheetViews>
    <sheetView tabSelected="1" workbookViewId="0">
      <selection activeCell="B17" sqref="B17"/>
    </sheetView>
  </sheetViews>
  <sheetFormatPr defaultRowHeight="14.4" x14ac:dyDescent="0.3"/>
  <cols>
    <col min="1" max="1" width="34.5546875" customWidth="1"/>
    <col min="2" max="3" width="23" customWidth="1"/>
    <col min="4" max="4" width="13.44140625" customWidth="1"/>
    <col min="5" max="5" width="16" customWidth="1"/>
    <col min="6" max="6" width="18.33203125" customWidth="1"/>
  </cols>
  <sheetData>
    <row r="1" spans="1:6" ht="21" x14ac:dyDescent="0.4">
      <c r="A1" s="16" t="s">
        <v>80</v>
      </c>
      <c r="B1" s="16"/>
    </row>
    <row r="3" spans="1:6" ht="18" x14ac:dyDescent="0.35">
      <c r="A3" s="17" t="s">
        <v>3</v>
      </c>
      <c r="B3" s="17" t="s">
        <v>31</v>
      </c>
      <c r="C3" s="17" t="s">
        <v>23</v>
      </c>
    </row>
    <row r="4" spans="1:6" ht="18" x14ac:dyDescent="0.35">
      <c r="A4" s="33" t="s">
        <v>64</v>
      </c>
      <c r="B4" s="2"/>
      <c r="C4" s="2" t="s">
        <v>32</v>
      </c>
    </row>
    <row r="5" spans="1:6" ht="18" x14ac:dyDescent="0.35">
      <c r="A5" s="33" t="s">
        <v>65</v>
      </c>
      <c r="B5" s="2"/>
      <c r="C5" s="2" t="s">
        <v>33</v>
      </c>
    </row>
    <row r="6" spans="1:6" ht="17.399999999999999" x14ac:dyDescent="0.3">
      <c r="A6" s="34" t="s">
        <v>49</v>
      </c>
      <c r="B6" s="2"/>
      <c r="C6" s="2"/>
    </row>
    <row r="7" spans="1:6" ht="17.399999999999999" x14ac:dyDescent="0.3">
      <c r="A7" s="34" t="s">
        <v>50</v>
      </c>
      <c r="B7" s="2"/>
      <c r="C7" s="2"/>
    </row>
    <row r="8" spans="1:6" ht="17.399999999999999" x14ac:dyDescent="0.3">
      <c r="A8" s="34" t="s">
        <v>66</v>
      </c>
      <c r="B8" s="2"/>
      <c r="C8" s="2" t="s">
        <v>68</v>
      </c>
    </row>
    <row r="9" spans="1:6" ht="17.399999999999999" x14ac:dyDescent="0.3">
      <c r="A9" s="34" t="s">
        <v>67</v>
      </c>
      <c r="B9" s="2"/>
      <c r="C9" s="2"/>
    </row>
    <row r="11" spans="1:6" ht="17.399999999999999" x14ac:dyDescent="0.3">
      <c r="A11" s="35" t="s">
        <v>69</v>
      </c>
      <c r="C11" t="s">
        <v>68</v>
      </c>
    </row>
    <row r="13" spans="1:6" ht="17.399999999999999" x14ac:dyDescent="0.3">
      <c r="A13" s="39" t="s">
        <v>3</v>
      </c>
      <c r="B13" s="37">
        <v>45717</v>
      </c>
      <c r="C13" s="37">
        <v>45352</v>
      </c>
      <c r="D13" s="37">
        <v>44986</v>
      </c>
      <c r="E13" s="37">
        <v>44621</v>
      </c>
      <c r="F13" s="38" t="s">
        <v>16</v>
      </c>
    </row>
    <row r="14" spans="1:6" ht="18" x14ac:dyDescent="0.35">
      <c r="A14" s="36" t="s">
        <v>70</v>
      </c>
      <c r="B14" s="36"/>
      <c r="C14" s="36"/>
      <c r="D14" s="36"/>
      <c r="E14" s="36"/>
      <c r="F14" s="36"/>
    </row>
    <row r="15" spans="1:6" ht="18" x14ac:dyDescent="0.35">
      <c r="A15" s="36" t="s">
        <v>71</v>
      </c>
      <c r="B15" s="36"/>
      <c r="C15" s="36"/>
      <c r="D15" s="36"/>
      <c r="E15" s="36"/>
      <c r="F15" s="36"/>
    </row>
    <row r="16" spans="1:6" ht="18" x14ac:dyDescent="0.35">
      <c r="A16" s="36" t="s">
        <v>72</v>
      </c>
      <c r="B16" s="36"/>
      <c r="C16" s="36"/>
      <c r="D16" s="36"/>
      <c r="E16" s="36"/>
      <c r="F16" s="36"/>
    </row>
    <row r="17" spans="1:6" ht="18" x14ac:dyDescent="0.35">
      <c r="A17" s="36" t="s">
        <v>73</v>
      </c>
      <c r="B17" s="36"/>
      <c r="C17" s="36"/>
      <c r="D17" s="36"/>
      <c r="E17" s="36"/>
      <c r="F17" s="36"/>
    </row>
    <row r="19" spans="1:6" ht="18" x14ac:dyDescent="0.35">
      <c r="A19" s="10" t="s">
        <v>47</v>
      </c>
    </row>
    <row r="20" spans="1:6" ht="18" x14ac:dyDescent="0.35">
      <c r="A20" s="43" t="s">
        <v>3</v>
      </c>
      <c r="B20" s="44" t="s">
        <v>40</v>
      </c>
      <c r="C20" s="44"/>
      <c r="D20" s="44" t="s">
        <v>41</v>
      </c>
      <c r="E20" s="44"/>
    </row>
    <row r="21" spans="1:6" ht="18" x14ac:dyDescent="0.35">
      <c r="A21" s="43"/>
      <c r="B21" s="20" t="s">
        <v>42</v>
      </c>
      <c r="C21" s="20" t="s">
        <v>43</v>
      </c>
      <c r="D21" s="20" t="s">
        <v>42</v>
      </c>
      <c r="E21" s="20" t="s">
        <v>43</v>
      </c>
    </row>
    <row r="22" spans="1:6" ht="18" x14ac:dyDescent="0.35">
      <c r="A22" s="33" t="s">
        <v>18</v>
      </c>
      <c r="B22" s="2"/>
      <c r="C22" s="2"/>
      <c r="D22" s="2"/>
      <c r="E22" s="2"/>
    </row>
    <row r="23" spans="1:6" ht="18" x14ac:dyDescent="0.35">
      <c r="A23" s="33" t="s">
        <v>74</v>
      </c>
      <c r="B23" s="2"/>
      <c r="C23" s="2"/>
      <c r="D23" s="2"/>
      <c r="E23" s="2"/>
    </row>
    <row r="24" spans="1:6" ht="17.399999999999999" x14ac:dyDescent="0.3">
      <c r="A24" s="34" t="s">
        <v>75</v>
      </c>
      <c r="B24" s="2"/>
      <c r="C24" s="2"/>
      <c r="D24" s="2"/>
      <c r="E24" s="2"/>
    </row>
    <row r="25" spans="1:6" ht="18" x14ac:dyDescent="0.35">
      <c r="A25" s="33" t="s">
        <v>76</v>
      </c>
      <c r="B25" s="2"/>
      <c r="C25" s="2"/>
      <c r="D25" s="2"/>
      <c r="E25" s="2"/>
    </row>
  </sheetData>
  <mergeCells count="3">
    <mergeCell ref="A20:A21"/>
    <mergeCell ref="B20:C20"/>
    <mergeCell ref="D20:E2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25894-D379-4049-9DEA-7186EA174660}">
  <dimension ref="B3:C7"/>
  <sheetViews>
    <sheetView workbookViewId="0">
      <selection activeCell="C9" sqref="C9"/>
    </sheetView>
  </sheetViews>
  <sheetFormatPr defaultRowHeight="14.4" x14ac:dyDescent="0.3"/>
  <cols>
    <col min="2" max="2" width="26.6640625" customWidth="1"/>
    <col min="3" max="3" width="25.77734375" customWidth="1"/>
  </cols>
  <sheetData>
    <row r="3" spans="2:3" ht="25.8" x14ac:dyDescent="0.5">
      <c r="B3" s="21" t="s">
        <v>63</v>
      </c>
      <c r="C3" s="30" t="s">
        <v>81</v>
      </c>
    </row>
    <row r="4" spans="2:3" ht="33.6" x14ac:dyDescent="0.65">
      <c r="B4" s="30" t="s">
        <v>12</v>
      </c>
      <c r="C4" s="31"/>
    </row>
    <row r="5" spans="2:3" ht="25.8" x14ac:dyDescent="0.5">
      <c r="B5" s="30" t="s">
        <v>61</v>
      </c>
      <c r="C5" s="66">
        <v>2285.4465</v>
      </c>
    </row>
    <row r="6" spans="2:3" ht="25.8" x14ac:dyDescent="0.5">
      <c r="B6" s="30" t="s">
        <v>62</v>
      </c>
      <c r="C6" s="66">
        <f>'PE Multiple'!$F$25</f>
        <v>2089.710729688712</v>
      </c>
    </row>
    <row r="7" spans="2:3" ht="33.6" x14ac:dyDescent="0.65">
      <c r="B7" s="21" t="s">
        <v>67</v>
      </c>
      <c r="C7" s="3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EVEBITDA</vt:lpstr>
      <vt:lpstr>PE Multiple</vt:lpstr>
      <vt:lpstr>PS Multiple</vt:lpstr>
      <vt:lpstr>PBV Multiple</vt:lpstr>
      <vt:lpstr>Final HUL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ISBSADMIN</dc:creator>
  <cp:lastModifiedBy>om dhamale</cp:lastModifiedBy>
  <dcterms:created xsi:type="dcterms:W3CDTF">2015-06-05T18:17:20Z</dcterms:created>
  <dcterms:modified xsi:type="dcterms:W3CDTF">2026-03-18T05:00:03Z</dcterms:modified>
</cp:coreProperties>
</file>